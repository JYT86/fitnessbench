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24</v>
      </c>
    </row>
    <row r="5">
      <c r="A5" s="4" t="inlineStr">
        <is>
          <t>Datasets shipped</t>
        </is>
      </c>
      <c r="B5" s="4" t="n">
        <v>176</v>
      </c>
    </row>
    <row r="6">
      <c r="A6" s="4" t="inlineStr">
        <is>
          <t>Total variants across all shipped datasets</t>
        </is>
      </c>
      <c r="B6" s="4" t="n">
        <v>660856</v>
      </c>
    </row>
    <row r="7">
      <c r="A7" s="4" t="inlineStr">
        <is>
          <t>Papers/items explicitly rejected, with a recorded reason</t>
        </is>
      </c>
      <c r="B7" s="4" t="n">
        <v>69</v>
      </c>
    </row>
    <row r="8">
      <c r="A8" s="4" t="inlineStr">
        <is>
          <t>Papers left open ("maybe" — not curated, not rejected)</t>
        </is>
      </c>
      <c r="B8" s="4" t="n">
        <v>1</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104</v>
      </c>
      <c r="C13" s="5" t="n">
        <v>178378</v>
      </c>
      <c r="D13" s="5" t="n">
        <v>11</v>
      </c>
      <c r="E13" s="5" t="inlineStr">
        <is>
          <t>SpCas9 (PAMmla), RbcL, McbA, CjPglB, SaAmd, LbCas12a, YmPhytase, rubisco (R. rubrum), tryptophan decarboxylase (R. gnavus), EnvZ histidine kinase (E. coli), NucB nuclease (B. licheniformis)</t>
        </is>
      </c>
    </row>
    <row r="14">
      <c r="A14" s="5" t="inlineStr">
        <is>
          <t>Archaea</t>
        </is>
      </c>
      <c r="B14" s="5" t="n">
        <v>5</v>
      </c>
      <c r="C14" s="5" t="n">
        <v>1753</v>
      </c>
      <c r="D14" s="5" t="n">
        <v>4</v>
      </c>
      <c r="E14" s="5" t="inlineStr">
        <is>
          <t>ParLQ, PylRS (IFRS), pCNFRS, Tgo-D4K polymerase</t>
        </is>
      </c>
    </row>
    <row r="15">
      <c r="A15" s="5" t="inlineStr">
        <is>
          <t>Yeast / fungi</t>
        </is>
      </c>
      <c r="B15" s="5" t="n">
        <v>22</v>
      </c>
      <c r="C15" s="5" t="n">
        <v>147999</v>
      </c>
      <c r="D15" s="5" t="n">
        <v>3</v>
      </c>
      <c r="E15" s="5" t="inlineStr">
        <is>
          <t>RNA Pol II Rpb1 (S. cerevisiae), DAOx (Rhodotorula gracilis), MthUPO peroxygenase (M. thermophila)</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9" t="inlineStr">
        <is>
          <t>23</t>
        </is>
      </c>
      <c r="B24" s="9" t="inlineStr">
        <is>
          <t>Thomas</t>
        </is>
      </c>
      <c r="C24" s="9" t="inlineStr">
        <is>
          <t>2025</t>
        </is>
      </c>
      <c r="D24" s="9" t="inlineStr">
        <is>
          <t>Cell Systems</t>
        </is>
      </c>
      <c r="E24" s="9" t="inlineStr">
        <is>
          <t>Engineering highly active nuclease enzymes with machine learning and high-throughput screening</t>
        </is>
      </c>
      <c r="F24" s="9" t="inlineStr">
        <is>
          <t>10.1016/j.cels.2025.101236</t>
        </is>
      </c>
      <c r="G24" s="9" t="inlineStr">
        <is>
          <t>datasets</t>
        </is>
      </c>
      <c r="H24" s="9" t="inlineStr">
        <is>
          <t>4</t>
        </is>
      </c>
      <c r="I24" s="9" t="inlineStr">
        <is>
          <t>58137</t>
        </is>
      </c>
      <c r="J24" s="9" t="inlineStr">
        <is>
          <t>NucB, the biofilm-dispersing nuclease of Bacillus licheniformis, 142 aa, byte-identical to UniProt F1BV52. Four generations of a machine-learning-guided design campaign (TeleProt), one dataset each, read out as droplet-sort enrichment factors: g1 9,440 / g2 14,677 / g3 18,617 / g4 15,403 variants, 1-23 substitutions each. Curated from the public GCS bucket behind github.com/google-deepmind/nuclease_design, not the article, which cell.com will not serve to an automated fetch. The union of the four is 55,759 distinct genotypes, exactly reproducing the 55,760-row landscape.csv the paper headlines as 'a dataset of 55,000 nuclease variants' -- but with continuous enrichment factors in place of that file's four-level ordinal.</t>
        </is>
      </c>
    </row>
    <row r="25">
      <c r="A25" s="9" t="inlineStr">
        <is>
          <t>24</t>
        </is>
      </c>
      <c r="B25" s="9" t="inlineStr">
        <is>
          <t>Munch</t>
        </is>
      </c>
      <c r="C25" s="9" t="inlineStr">
        <is>
          <t>2025</t>
        </is>
      </c>
      <c r="D25" s="9" t="inlineStr">
        <is>
          <t>ACS Catalysis</t>
        </is>
      </c>
      <c r="E25" s="9" t="inlineStr">
        <is>
          <t>Computationally Designed Peroxygenases That Exhibit Diverse and Selective Terpene Oxyfunctionalization</t>
        </is>
      </c>
      <c r="F25" s="9" t="inlineStr">
        <is>
          <t>10.1021/acscatal.5c02412</t>
        </is>
      </c>
      <c r="G25" s="9" t="inlineStr">
        <is>
          <t>datasets</t>
        </is>
      </c>
      <c r="H25" s="9" t="inlineStr">
        <is>
          <t>8</t>
        </is>
      </c>
      <c r="I25" s="9" t="inlineStr">
        <is>
          <t>396</t>
        </is>
      </c>
      <c r="J25" s="9" t="inlineStr">
        <is>
          <t>MthUPO, the unspecific peroxygenase of Myceliophthora thermophila, 245-aa expression construct. Fifty FuncLib-designed active-site variants, four substitutions each among ten designed positions, screened against eight terpene substrates -- geraniol, nerol, (R)- and (S)-limonene, alpha- and delta-damascone, alpha- and beta-ionone -- one dataset per substrate, readout being total product relative to wild type. Data from the authors' Harvard Dataverse deposit 10.7910/DVN/ZPKEAI (CC0). Found only on re-auditing ACS Catalysis with a looser query: the seventh sweep's directed-evolution vocabulary misses computational design.</t>
        </is>
      </c>
    </row>
    <row r="26">
      <c r="A26" s="10" t="inlineStr">
        <is>
          <t>TOTAL</t>
        </is>
      </c>
      <c r="B26" s="4" t="n"/>
      <c r="C26" s="4" t="n"/>
      <c r="D26" s="4" t="n"/>
      <c r="E26" s="4" t="n"/>
      <c r="F26" s="4" t="n"/>
      <c r="G26" s="4" t="n"/>
      <c r="H26" s="10">
        <f>SUM(H2:H25)</f>
        <v/>
      </c>
      <c r="I26" s="10">
        <f>SUM(I2:I25)</f>
        <v/>
      </c>
      <c r="J26"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0"/>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row r="67">
      <c r="A67" s="11" t="inlineStr">
        <is>
          <t>66</t>
        </is>
      </c>
      <c r="B67" s="11" t="inlineStr">
        <is>
          <t>ACE2 droplet-microfluidic activity screen</t>
        </is>
      </c>
      <c r="C67" s="11" t="inlineStr">
        <is>
          <t>10.1186/s13036-025-00482-3</t>
        </is>
      </c>
      <c r="D67" s="11" t="inlineStr">
        <is>
          <t>Thirteenth sweep (droplet / ultrahigh-throughput axis)</t>
        </is>
      </c>
      <c r="E67" s="11" t="inlineStr">
        <is>
          <t>Rejected on reproducibility, having been opened in full. Additional File 3 is a real machine-readable table -- 622 single substitutions in human ACE2, positions 19-614, with log enrichment values from each of three droplet sorts -- and ACE2 is a peptidase, so the enzyme scope admits it. But the three sorts do not agree: Pearson r is 0.074 between sorts 1 and 2, 0.006 between 1 and 3, and -0.029 between 2 and 3. Three sorts of one library correlating at zero means the per-variant numbers are not a measurement. The spread of the per-variant means is 1.17x the median within-variant scatter, so averaging does not rescue it either. The paper is candid about this -- it reports 'large variability in mutational enrichment across the three replicates' and uses the columns as a consensus filter to pick six mutants rather than as a landscape; those six duly rank high by mean, but they were chosen from these same three columns, so that is not independent support. 24 of the 622 labels are nonsense variants and would need dropping regardless. A dataset built from this would pass every validator here and be noise.</t>
        </is>
      </c>
    </row>
    <row r="68">
      <c r="A68" s="11" t="inlineStr">
        <is>
          <t>67</t>
        </is>
      </c>
      <c r="B68" s="11" t="inlineStr">
        <is>
          <t>Directed evolution of a TNA polymerase</t>
        </is>
      </c>
      <c r="C68" s="11" t="inlineStr">
        <is>
          <t>10.1038/s41467-025-67652-1</t>
        </is>
      </c>
      <c r="D68" s="11" t="inlineStr">
        <is>
          <t>Thirteenth sweep (fitness landscape / epistasis axis)</t>
        </is>
      </c>
      <c r="E68" s="11" t="inlineStr">
        <is>
          <t>Chased to the data availability statement. Source Data covers figures, kinetics and thermostability of the evolved champions, and the deposits are crystal structures (PDB 9OAT, 9OAU, 9OAV, 9OAW, 9OAX, 9OAY). No per-variant table; the one-champion directed-evolution pattern.</t>
        </is>
      </c>
    </row>
    <row r="69">
      <c r="A69" s="11" t="inlineStr">
        <is>
          <t>68</t>
        </is>
      </c>
      <c r="B69" s="11" t="inlineStr">
        <is>
          <t>Bacterial P450 steroid side-chain cleavage enzymes</t>
        </is>
      </c>
      <c r="C69" s="11" t="inlineStr">
        <is>
          <t>10.1038/s41467-025-67278-3</t>
        </is>
      </c>
      <c r="D69" s="11" t="inlineStr">
        <is>
          <t>Thirteenth sweep (ASR / iterative saturation axis)</t>
        </is>
      </c>
      <c r="E69" s="11" t="inlineStr">
        <is>
          <t>An enzyme discovery paper, not a variant library: a BLAST and phylogenetic survey identifying CYP204 family members, with structures, docking and MD. The figshare deposit holds RESP fitting and MD simulation inputs. Homolog panel, so no shared wild type and no mutant column, the shape that also sank the Cas12a orthologs and the PET hydrolase panel.</t>
        </is>
      </c>
    </row>
    <row r="70">
      <c r="A70" s="11" t="inlineStr">
        <is>
          <t>69</t>
        </is>
      </c>
      <c r="B70" s="11" t="inlineStr">
        <is>
          <t>Microfluidic ultrahigh-throughput ketoreductase screen</t>
        </is>
      </c>
      <c r="C70" s="11" t="inlineStr">
        <is>
          <t>10.1021/acs.analchem.5c01029</t>
        </is>
      </c>
      <c r="D70" s="11" t="inlineStr">
        <is>
          <t>Thirteenth sweep (droplet / ultrahigh-throughput axis)</t>
        </is>
      </c>
      <c r="E70" s="11" t="inlineStr">
        <is>
          <t>A discovery screen over natural ketoreductase diversity rather than a mutant library of one parent, and the full text carries no data availability statement. Same shape as the P450 paper above.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row r="40">
      <c r="A40" s="16" t="inlineStr">
        <is>
          <t>39</t>
        </is>
      </c>
      <c r="B40" s="16" t="inlineStr">
        <is>
          <t>Thomas 2025 (NucB TeleProt campaign)</t>
        </is>
      </c>
      <c r="C40" s="16" t="inlineStr">
        <is>
          <t>10.1016/j.cels.2025.101236</t>
        </is>
      </c>
      <c r="D40" s="16" t="inlineStr">
        <is>
          <t>4</t>
        </is>
      </c>
      <c r="E40" s="16" t="inlineStr">
        <is>
          <t>The other sort gates of each generation, and processed_data/landscape.csv</t>
        </is>
      </c>
      <c r="F40" s="16" t="inlineStr">
        <is>
          <t>Each generation was sorted at several stringencies and the gates are not equivalent. The most stringent recover almost nothing: g3's 99th-percentile gate is zero for 16,530 of 18,618 variants and g4's 99.5th for 14,027 of 15,404, and neither separates the variants the deposit labels as beating wild type. One gate per generation was shipped -- the one with the fewest zeros and most distinct values that still separates those labels -- and the rest left unshipped rather than averaged, since a mean across stringencies is not a quantity the experiment measured. landscape.csv, the 55,760-row summary, is excluded because its activity_level is a four-level ordinal carrying far less information per variant than the enrichment factors; its genotype set is fully covered by the four files shipped.</t>
        </is>
      </c>
      <c r="G40" s="16" t="inlineStr">
        <is>
          <t>n/a -- found on curation 2026-09-07</t>
        </is>
      </c>
      <c r="H40" s="16" t="inlineStr">
        <is>
          <t>Revisit the discarded gates only if a use emerges for per-stringency replicates. The raw per-bin read counts are also available in the same bucket (100 MB - 1.2 GB per file).</t>
        </is>
      </c>
    </row>
    <row r="41">
      <c r="A41" s="16" t="inlineStr">
        <is>
          <t>40</t>
        </is>
      </c>
      <c r="B41" s="16" t="inlineStr">
        <is>
          <t>Munch 2025 (MthUPO FuncLib designs)</t>
        </is>
      </c>
      <c r="C41" s="16" t="inlineStr">
        <is>
          <t>10.1021/acscatal.5c02412</t>
        </is>
      </c>
      <c r="D41" s="16" t="inlineStr">
        <is>
          <t>8</t>
        </is>
      </c>
      <c r="E41" s="16" t="inlineStr">
        <is>
          <t>The ABTS, DMP and NBD model-substrate screens; the splitGFP screen; the per-product selectivity fractions</t>
        </is>
      </c>
      <c r="F41" s="16" t="inlineStr">
        <is>
          <t>The three model-substrate screens are keyed by microplate well (A1, B7, ...) rather than by design, so mapping them to variants needs the plate-scheme cross-walk in the same workbook; not attempted, and a wrong cross-walk would mislabel every row silently. splitGFP measures expression, not activity. The regio- and stereoselectivity fractions beside each substrate's activity are a different quantity and would want their own directory -- they are the paper's most striking result (regioselectivity for 3-hydroxy-beta-damascone rising from 3% to 46%), so this is the more interesting omission of the two.</t>
        </is>
      </c>
      <c r="G41" s="16" t="inlineStr">
        <is>
          <t>n/a -- found on curation 2026-09-07</t>
        </is>
      </c>
      <c r="H41" s="16" t="inlineStr">
        <is>
          <t>The selectivity fractions are the obvious follow-up if a Selectivity/Regioselectivity directory is ever wanted; datasets/Selectivity/ already exists for diastereoselectivity.</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TEV protease engineered by enzyme-substrate co-display on yeast</t>
        </is>
      </c>
      <c r="C2" s="3" t="inlineStr">
        <is>
          <t>10.1093/protein/gzaf011</t>
        </is>
      </c>
      <c r="D2" s="3" t="inlineStr">
        <is>
          <t>Twelfth sweep (OA filter removed)</t>
        </is>
      </c>
      <c r="E2" s="3" t="inlineStr">
        <is>
          <t>Yeast surface display co-presenting protease mutants with their substrate, so activity is read by loss of an epitope tag under flow cytometry. A protease is in scope and the method is library-scale on its face.</t>
        </is>
      </c>
      <c r="F2" s="3" t="inlineStr">
        <is>
          <t>No action needed yet. PMC13010152 is already assigned but live:False -- it is under embargo and will become fetchable on its own. Re-check rather than chase.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2026-09-07T07:58:21Z</dcterms:modified>
</cp:coreProperties>
</file>