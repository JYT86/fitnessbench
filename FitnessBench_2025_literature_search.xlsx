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21</v>
      </c>
    </row>
    <row r="5">
      <c r="A5" s="4" t="inlineStr">
        <is>
          <t>Datasets shipped</t>
        </is>
      </c>
      <c r="B5" s="4" t="n">
        <v>162</v>
      </c>
    </row>
    <row r="6">
      <c r="A6" s="4" t="inlineStr">
        <is>
          <t>Total variants across all shipped datasets</t>
        </is>
      </c>
      <c r="B6" s="4" t="n">
        <v>600043</v>
      </c>
    </row>
    <row r="7">
      <c r="A7" s="4" t="inlineStr">
        <is>
          <t>Papers/items explicitly rejected, with a recorded reason</t>
        </is>
      </c>
      <c r="B7" s="4" t="n">
        <v>65</v>
      </c>
    </row>
    <row r="8">
      <c r="A8" s="4" t="inlineStr">
        <is>
          <t>Papers left open ("maybe" — not curated, not rejected)</t>
        </is>
      </c>
      <c r="B8" s="4" t="n">
        <v>3</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98</v>
      </c>
      <c r="C13" s="5" t="n">
        <v>117961</v>
      </c>
      <c r="D13" s="5" t="n">
        <v>9</v>
      </c>
      <c r="E13" s="5" t="inlineStr">
        <is>
          <t>SpCas9 (PAMmla), RbcL, McbA, CjPglB, SaAmd, LbCas12a, YmPhytase, rubisco (R. rubrum), tryptophan decarboxylase (R. gnavus)</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10" t="inlineStr">
        <is>
          <t>TOTAL</t>
        </is>
      </c>
      <c r="B23" s="4" t="n"/>
      <c r="C23" s="4" t="n"/>
      <c r="D23" s="4" t="n"/>
      <c r="E23" s="4" t="n"/>
      <c r="F23" s="4" t="n"/>
      <c r="G23" s="4" t="n"/>
      <c r="H23" s="10">
        <f>SUM(H2:H22)</f>
        <v/>
      </c>
      <c r="I23" s="10">
        <f>SUM(I2:I22)</f>
        <v/>
      </c>
      <c r="J23"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Nuclease activity landscape, 55,000 variants (TeleProt)</t>
        </is>
      </c>
      <c r="C2" s="3" t="inlineStr">
        <is>
          <t>10.1016/j.cels.2025.101236</t>
        </is>
      </c>
      <c r="D2" s="3" t="inlineStr">
        <is>
          <t>Twelfth sweep (OA filter removed)</t>
        </is>
      </c>
      <c r="E2" s="3" t="inlineStr">
        <is>
          <t>The abstract states the authors 'released a dataset of 55,000 nuclease variants, one of the most extensive genotype-phenotype enzyme activity landscapes to date'. A nuclease is in the enzyme scope, the readout is catalytic activity, and 55,000 would be among the largest datasets in this repository. Cell Systems 2025, Google Research; a bioRxiv preprint exists at 10.1101/2024.03.21.585615.</t>
        </is>
      </c>
      <c r="F2" s="3" t="inlineStr">
        <is>
          <t>NEEDS THE USER. The paper is CC-BY per Crossref and Unpaywall (oa_status hybrid), so it is free -- but cell.com returns 403 to any automated fetch, and so does biorxiv.org. Please download the article PDF and its supplementary/STAR Methods from https://www.cell.com/cell-systems/pdf/S2405-4712(25)00069-9.pdf and drop them in. The data availability statement is what is actually needed: it should name where the 55,000 variants live.</t>
        </is>
      </c>
    </row>
    <row r="3">
      <c r="A3" s="3" t="inlineStr">
        <is>
          <t>2</t>
        </is>
      </c>
      <c r="B3" s="3" t="inlineStr">
        <is>
          <t>Multi-environment DMS of a bacterial kinase across temperatures</t>
        </is>
      </c>
      <c r="C3" s="3" t="inlineStr">
        <is>
          <t>10.1016/j.celrep.2025.116446</t>
        </is>
      </c>
      <c r="D3" s="3" t="inlineStr">
        <is>
          <t>Twelfth sweep (OA filter removed)</t>
        </is>
      </c>
      <c r="E3" s="3" t="inlineStr">
        <is>
          <t>A genuine deep mutational scan of an enzyme performed at multiple temperatures -- several conditions on one wild type, so several datasets -- identifying temperature-sensitive and temperature-resistant substitutions. The paper's own argument is that single-condition landscapes hide condition-dependent effects, which is exactly the axis this benchmark is thin on. Cell Reports 2025.</t>
        </is>
      </c>
      <c r="F3" s="3" t="inlineStr">
        <is>
          <t>NEEDS THE USER. Unpaywall reports oa_status gold with a direct PDF at https://www.cell.com/cell-reports/pdf/S2211-1247(25)01217-3.pdf, but cell.com returns 403 to automated fetches. Please download that PDF and the supplementary files. No preprint exists. Note Europe PMC records this as OPEN_ACCESS:N, inEPMC:N -- that flag is wrong.</t>
        </is>
      </c>
    </row>
    <row r="4">
      <c r="A4" s="3" t="inlineStr">
        <is>
          <t>3</t>
        </is>
      </c>
      <c r="B4" s="3" t="inlineStr">
        <is>
          <t>TEV protease engineered by enzyme-substrate co-display on yeast</t>
        </is>
      </c>
      <c r="C4" s="3" t="inlineStr">
        <is>
          <t>10.1093/protein/gzaf011</t>
        </is>
      </c>
      <c r="D4" s="3" t="inlineStr">
        <is>
          <t>Twelfth sweep (OA filter removed)</t>
        </is>
      </c>
      <c r="E4" s="3" t="inlineStr">
        <is>
          <t>Yeast surface display co-presenting protease mutants with their substrate, so activity is read by loss of an epitope tag under flow cytometry. A protease is in scope and the method is library-scale on its face.</t>
        </is>
      </c>
      <c r="F4" s="3" t="inlineStr">
        <is>
          <t>No action needed yet. PMC13010152 is already assigned but live:False -- it is under embargo and will become fetchable on its own. Re-check rather than chase.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2026-09-07T03:36:12Z</dcterms:modified>
</cp:coreProperties>
</file>