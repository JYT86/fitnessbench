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urated" sheetId="2" state="visible" r:id="rId2"/>
    <sheet xmlns:r="http://schemas.openxmlformats.org/officeDocument/2006/relationships" name="Rejected" sheetId="3" state="visible" r:id="rId3"/>
    <sheet xmlns:r="http://schemas.openxmlformats.org/officeDocument/2006/relationships" name="Partial rejections" sheetId="4" state="visible" r:id="rId4"/>
    <sheet xmlns:r="http://schemas.openxmlformats.org/officeDocument/2006/relationships" name="Open (maybes)" sheetId="5" state="visible" r:id="rId5"/>
  </sheets>
  <definedNames>
    <definedName name="_xlnm._FilterDatabase" localSheetId="3" hidden="1">'Partial rejections'!$A$1:$H$38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i val="1"/>
    </font>
    <font>
      <b val="1"/>
    </font>
  </fonts>
  <fills count="7">
    <fill>
      <patternFill/>
    </fill>
    <fill>
      <patternFill patternType="gray125"/>
    </fill>
    <fill>
      <patternFill patternType="solid">
        <fgColor rgb="002F5496"/>
      </patternFill>
    </fill>
    <fill>
      <patternFill patternType="solid">
        <fgColor rgb="00E2EFDA"/>
      </patternFill>
    </fill>
    <fill>
      <patternFill patternType="solid">
        <fgColor rgb="00FCE4E4"/>
      </patternFill>
    </fill>
    <fill>
      <patternFill patternType="solid">
        <fgColor rgb="00FFF2CC"/>
      </patternFill>
    </fill>
    <fill>
      <patternFill patternType="solid">
        <fgColor rgb="00F8CBAD"/>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2" fillId="2" borderId="0"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0" applyAlignment="1" pivotButton="0" quotePrefix="0" xfId="0">
      <alignment vertical="top" wrapText="1"/>
    </xf>
    <xf numFmtId="0" fontId="0" fillId="3" borderId="1" applyAlignment="1" pivotButton="0" quotePrefix="0" xfId="0">
      <alignment vertical="top" wrapText="1"/>
    </xf>
    <xf numFmtId="0" fontId="4" fillId="0" borderId="1"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48" customWidth="1" min="1" max="1"/>
    <col width="12" customWidth="1" min="2" max="2"/>
    <col width="12" customWidth="1" min="3" max="3"/>
    <col width="10" customWidth="1" min="4" max="4"/>
    <col width="50" customWidth="1" min="5" max="5"/>
  </cols>
  <sheetData>
    <row r="1">
      <c r="A1" s="1" t="inlineStr">
        <is>
          <t>FitnessBench 2025 branch — literature search summary</t>
        </is>
      </c>
    </row>
    <row r="3" ht="30" customHeight="1">
      <c r="A3" s="2" t="inlineStr">
        <is>
          <t>Metric</t>
        </is>
      </c>
      <c r="B3" s="2" t="inlineStr">
        <is>
          <t>Value</t>
        </is>
      </c>
      <c r="C3" s="3" t="n"/>
      <c r="D3" s="3" t="n"/>
      <c r="E3" s="3" t="n"/>
    </row>
    <row r="4">
      <c r="A4" s="4" t="inlineStr">
        <is>
          <t>Papers curated (shipped to the branch)</t>
        </is>
      </c>
      <c r="B4" s="4" t="n">
        <v>20</v>
      </c>
    </row>
    <row r="5">
      <c r="A5" s="4" t="inlineStr">
        <is>
          <t>Datasets shipped</t>
        </is>
      </c>
      <c r="B5" s="4" t="n">
        <v>155</v>
      </c>
    </row>
    <row r="6">
      <c r="A6" s="4" t="inlineStr">
        <is>
          <t>Total variants across all shipped datasets</t>
        </is>
      </c>
      <c r="B6" s="4" t="n">
        <v>607387</v>
      </c>
    </row>
    <row r="7">
      <c r="A7" s="4" t="inlineStr">
        <is>
          <t>Papers/items explicitly rejected, with a recorded reason</t>
        </is>
      </c>
      <c r="B7" s="4" t="n">
        <v>61</v>
      </c>
    </row>
    <row r="8">
      <c r="A8" s="4" t="inlineStr">
        <is>
          <t>Papers left open ("maybe" — not curated, not rejected)</t>
        </is>
      </c>
      <c r="B8" s="4" t="n">
        <v>7</v>
      </c>
    </row>
    <row r="9">
      <c r="A9" s="4" t="inlineStr">
        <is>
          <t>Search sweeps run</t>
        </is>
      </c>
      <c r="B9" s="4" t="n">
        <v>11</v>
      </c>
    </row>
    <row r="10">
      <c r="A10" s="8" t="inlineStr">
        <is>
          <t>Items excluded inside a curated paper (see 'Partial rejections')</t>
        </is>
      </c>
      <c r="B10" s="8" t="n">
        <v>37</v>
      </c>
    </row>
    <row r="11" ht="30" customHeight="1"/>
    <row r="12">
      <c r="A12" s="3" t="inlineStr">
        <is>
          <t>Source-organism category</t>
        </is>
      </c>
      <c r="B12" s="3" t="inlineStr">
        <is>
          <t>Datasets</t>
        </is>
      </c>
      <c r="C12" s="3" t="inlineStr">
        <is>
          <t>Variants</t>
        </is>
      </c>
      <c r="D12" s="3" t="inlineStr">
        <is>
          <t>Papers</t>
        </is>
      </c>
      <c r="E12" s="3" t="inlineStr">
        <is>
          <t>Example proteins</t>
        </is>
      </c>
    </row>
    <row r="13">
      <c r="A13" s="5" t="inlineStr">
        <is>
          <t>Bacteria</t>
        </is>
      </c>
      <c r="B13" s="5" t="n">
        <v>92</v>
      </c>
      <c r="C13" s="5" t="n">
        <v>123283</v>
      </c>
      <c r="D13" s="5" t="n">
        <v>8</v>
      </c>
      <c r="E13" s="5" t="inlineStr">
        <is>
          <t>SpCas9 (PAMmla), RbcL, McbA, CjPglB, SaAmd, LbCas12a, YmPhytase, CymR</t>
        </is>
      </c>
    </row>
    <row r="14">
      <c r="A14" s="5" t="inlineStr">
        <is>
          <t>Archaea</t>
        </is>
      </c>
      <c r="B14" s="5" t="n">
        <v>5</v>
      </c>
      <c r="C14" s="5" t="n">
        <v>1753</v>
      </c>
      <c r="D14" s="5" t="n">
        <v>4</v>
      </c>
      <c r="E14" s="5" t="inlineStr">
        <is>
          <t>ParLQ, PylRS (IFRS), pCNFRS, Tgo-D4K polymerase</t>
        </is>
      </c>
    </row>
    <row r="15">
      <c r="A15" s="5" t="inlineStr">
        <is>
          <t>Yeast / fungi</t>
        </is>
      </c>
      <c r="B15" s="5" t="n">
        <v>14</v>
      </c>
      <c r="C15" s="5" t="n">
        <v>147603</v>
      </c>
      <c r="D15" s="5" t="n">
        <v>2</v>
      </c>
      <c r="E15" s="5" t="inlineStr">
        <is>
          <t>RNA Pol II Rpb1 (S. cerevisiae), DAOx (Rhodotorula gracilis)</t>
        </is>
      </c>
    </row>
    <row r="16">
      <c r="A16" s="5" t="inlineStr">
        <is>
          <t>Plants</t>
        </is>
      </c>
      <c r="B16" s="5" t="n">
        <v>2</v>
      </c>
      <c r="C16" s="5" t="n">
        <v>725</v>
      </c>
      <c r="D16" s="5" t="n">
        <v>2</v>
      </c>
      <c r="E16" s="5" t="inlineStr">
        <is>
          <t>AtHMT, CONSTANS (A. thaliana)</t>
        </is>
      </c>
    </row>
    <row r="17">
      <c r="A17" s="5" t="inlineStr">
        <is>
          <t>Viruses (incl. bacteriophage)</t>
        </is>
      </c>
      <c r="B17" s="5" t="n">
        <v>25</v>
      </c>
      <c r="C17" s="5" t="n">
        <v>270545</v>
      </c>
      <c r="D17" s="5" t="n">
        <v>4</v>
      </c>
      <c r="E17" s="5" t="inlineStr">
        <is>
          <t>TEV protease, influenza NEP, T7 RNA polymerase, Con1 (designed potyviral consensus)</t>
        </is>
      </c>
    </row>
    <row r="18">
      <c r="A18" s="5" t="inlineStr">
        <is>
          <t>Human</t>
        </is>
      </c>
      <c r="B18" s="5" t="n">
        <v>15</v>
      </c>
      <c r="C18" s="5" t="n">
        <v>63420</v>
      </c>
      <c r="D18" s="5" t="n">
        <v>3</v>
      </c>
      <c r="E18" s="5" t="inlineStr">
        <is>
          <t>MET kinase domain, SHP2, myoglobin</t>
        </is>
      </c>
    </row>
    <row r="19">
      <c r="A19" s="5" t="inlineStr">
        <is>
          <t>Other (animal-derived)</t>
        </is>
      </c>
      <c r="B19" s="5" t="n">
        <v>2</v>
      </c>
      <c r="C19" s="5" t="n">
        <v>58</v>
      </c>
      <c r="D19" s="5" t="n">
        <v>1</v>
      </c>
      <c r="E19" s="5" t="inlineStr">
        <is>
          <t>VHH nanobody, camelid-derived</t>
        </is>
      </c>
    </row>
    <row r="20">
      <c r="A20" s="6" t="inlineStr">
        <is>
          <t xml:space="preserve">  Subtotal: Prokaryotes (Bacteria + Archaea)</t>
        </is>
      </c>
      <c r="B20" s="6" t="n">
        <v>92</v>
      </c>
      <c r="C20" s="6" t="n">
        <v>95879</v>
      </c>
      <c r="D20" s="5" t="n"/>
      <c r="E20" s="5" t="n"/>
    </row>
    <row r="21">
      <c r="A21" s="6" t="inlineStr">
        <is>
          <t xml:space="preserve">  Subtotal: Eukaryotes, non-human (Yeast/fungi + Plants + Other)</t>
        </is>
      </c>
      <c r="B21" s="6" t="n">
        <v>18</v>
      </c>
      <c r="C21" s="6" t="n">
        <v>148386</v>
      </c>
      <c r="D21" s="5" t="n"/>
      <c r="E21" s="5" t="n"/>
    </row>
    <row r="22" ht="60" customHeight="1">
      <c r="A22" s="7" t="inlineStr">
        <is>
          <t>TOTAL</t>
        </is>
      </c>
      <c r="B22">
        <f>SUM(B13:B19)</f>
        <v/>
      </c>
      <c r="C22">
        <f>SUM(C13:C19)</f>
        <v/>
      </c>
    </row>
    <row r="23">
      <c r="A23" s="8" t="inlineStr">
        <is>
          <t>'Papers' counts distinct DOIs within that category; a paper spanning several organisms (e.g. Jiang 2024/PRIME, which has datasets on a bacterium, an archaeon, a bacteriophage and a camelid nanobody) is counted once per category it touches, so the Papers column does not sum to the 17-paper total. Datasets and Variants do sum exactly to the Curated tab's totals -- every dataset has exactly one source_organism. 'Other (animal-derived)' is the VHH nanobody dataset, filed under datasets/ even though a camelid is not a bacterium, archaeon, yeast or plant -- the branch has no separate tree for it yet.</t>
        </is>
      </c>
    </row>
    <row r="24" ht="30" customHeight="1"/>
    <row r="25">
      <c r="A25" s="3" t="inlineStr">
        <is>
          <t>Sweep</t>
        </is>
      </c>
      <c r="B25" s="3" t="inlineStr">
        <is>
          <t>What it searched</t>
        </is>
      </c>
      <c r="C25" s="3" t="inlineStr">
        <is>
          <t>Venue coverage</t>
        </is>
      </c>
      <c r="D25" s="3" t="n"/>
      <c r="E25" s="3" t="n"/>
    </row>
    <row r="26">
      <c r="A26" s="5" t="inlineStr">
        <is>
          <t>First sweep</t>
        </is>
      </c>
      <c r="B26" s="5" t="inlineStr">
        <is>
          <t>"machine learning guided enzyme engineering" (+/- organism)</t>
        </is>
      </c>
      <c r="C26" s="5" t="inlineStr">
        <is>
          <t>nature.com, 2025</t>
        </is>
      </c>
    </row>
    <row r="27">
      <c r="A27" s="5" t="inlineStr">
        <is>
          <t>Second sweep</t>
        </is>
      </c>
      <c r="B27" s="5" t="inlineStr">
        <is>
          <t>Same query, organism clause dropped</t>
        </is>
      </c>
      <c r="C27" s="5" t="inlineStr">
        <is>
          <t>Springer Nature via Europe PMC, 2025</t>
        </is>
      </c>
    </row>
    <row r="28">
      <c r="A28" s="5" t="inlineStr">
        <is>
          <t>Third sweep</t>
        </is>
      </c>
      <c r="B28" s="5" t="inlineStr">
        <is>
          <t>"deep mutational scanning" / "variant effect map" / "massively parallel mutagenesis" / "site-saturation mutagenesis"</t>
        </is>
      </c>
      <c r="C28" s="5" t="inlineStr">
        <is>
          <t>All publishers via Europe PMC, 2025, open access</t>
        </is>
      </c>
    </row>
    <row r="29">
      <c r="A29" s="5" t="inlineStr">
        <is>
          <t>Fourth sweep (ACS) -- SUPERSEDED</t>
        </is>
      </c>
      <c r="B29" s="5" t="inlineStr">
        <is>
          <t>No single boolean query recorded (unlike the other sweeps) -- browsed each journal's 2025 issue listings directly, then read title and abstract of anything protein/enzyme-shaped. Direct ACS access returns a 403 on articles and supplements, so retrieval went through Europe PMC. Redone systematically as the seventh sweep below, which found a paper this pass missed.</t>
        </is>
      </c>
      <c r="C29" s="5" t="inlineStr">
        <is>
          <t>ACS Catal, ACS Cent Sci, ACS Synth Biol, JACS, Biochemistry, 2025, open access</t>
        </is>
      </c>
    </row>
    <row r="30">
      <c r="A30" s="5" t="inlineStr">
        <is>
          <t>Fifth sweep (PNAS)</t>
        </is>
      </c>
      <c r="B30" s="5" t="inlineStr">
        <is>
          <t>Two separate matches, then deduped: title-matched on protein/enzyme-engineering terms (30 hits) and abstract-matched on landscape/library terms ("fitness landscape", "combinatorial library", etc., 11 hits) -- 41 unique papers total.</t>
        </is>
      </c>
      <c r="C30" s="5" t="inlineStr">
        <is>
          <t>PNAS, 2025, open access</t>
        </is>
      </c>
    </row>
    <row r="31">
      <c r="A31" s="5" t="inlineStr">
        <is>
          <t>Sixth sweep (Cell Press)</t>
        </is>
      </c>
      <c r="B31" s="5" t="inlineStr">
        <is>
          <t>Title-matched across the full journal family (43 hits) -- almost entirely clinical-ML iScience papers with no connection to protein engineering, so no separate abstract pass was run.</t>
        </is>
      </c>
      <c r="C31" s="5" t="inlineStr">
        <is>
          <t>Cell, Mol Cell, Cell Chem Biol, Cell Systems, Structure, Cell Host &amp; Microbe, Immunity, Curr Biol, Chem, iScience, Cell Rep Methods, Cell Rep Phys Sci</t>
        </is>
      </c>
    </row>
    <row r="32">
      <c r="A32" s="5" t="inlineStr">
        <is>
          <t>Seventh sweep (ACS, redone)</t>
        </is>
      </c>
      <c r="B32" s="5" t="inlineStr">
        <is>
          <t>The fourth sweep redone as a real query for parity with the others: JOURNAL:(5 ACS titles) AND PUB_YEAR:2025 AND SRC:MED AND (deep mutational scanning OR site-saturation mutagenesis OR directed evolution OR variant effect map OR massively parallel mutagenesis OR enzyme engineering OR protein engineering, as quoted phrases) -- 237 hits, 234 unseen; all 234 abstracts pulled and keyword-scored for per-variant-table signals. Found Somvilla 2025, which the manual pass had missed.</t>
        </is>
      </c>
      <c r="C32" s="5" t="inlineStr">
        <is>
          <t>ACS Catal, ACS Cent Sci, ACS Synth Biol, JACS, Biochemistry, 2025</t>
        </is>
      </c>
    </row>
    <row r="33">
      <c r="A33" s="5" t="inlineStr">
        <is>
          <t>Directed-evolution sweep</t>
        </is>
      </c>
      <c r="B33" s="5" t="inlineStr">
        <is>
          <t>"directed evolution" / "site-saturation mutagenesis" / "laboratory evolution" / "yeast surface display"+"deep sequencing", explicitly excluding "deep mutational scanning" and "enzyme engineering" phrasing</t>
        </is>
      </c>
      <c r="C33" s="5" t="inlineStr">
        <is>
          <t>All publishers via Europe PMC, 2025, journals only (no bioRxiv)</t>
        </is>
      </c>
    </row>
    <row r="34" ht="45" customHeight="1">
      <c r="A34" s="5" t="inlineStr">
        <is>
          <t>Eighth sweep (2026)</t>
        </is>
      </c>
      <c r="B34" s="5" t="inlineStr">
        <is>
          <t>The first sweep of a year other than 2025, run 2026-09-04. Two Europe PMC queries: ABSTRACT:("deep mutational scanning" OR "site-saturation mutagenesis" OR "variant effect map") -- 66 hits; and ABSTRACT:("enzyme engineering" OR "protein engineering" OR "machine learning-guided") AND ABSTRACT:"variants" -- 45 hits. Both relevance-ordered and read to pageSize 40, so a top slice rather than an enumeration; the third, sixth and seventh sweeps are worth re-running verbatim against 2026.</t>
        </is>
      </c>
      <c r="C34" s="5" t="inlineStr">
        <is>
          <t>All publishers via Europe PMC, 2026, open access, journals only</t>
        </is>
      </c>
    </row>
    <row r="35">
      <c r="A35" s="5" t="inlineStr">
        <is>
          <t>Ninth sweep (display axis)</t>
        </is>
      </c>
      <c r="B35" s="17" t="n"/>
      <c r="C35" s="17" t="n"/>
      <c r="D35" s="17" t="n"/>
      <c r="E35" s="18" t="n"/>
    </row>
    <row r="36">
      <c r="A36" s="5" t="inlineStr">
        <is>
          <t>Tenth sweep (enzyme, never-swept journals)</t>
        </is>
      </c>
      <c r="B36" s="17" t="inlineStr">
        <is>
          <t>The venues no journal-specific sweep had ever touched, 2025+2026, weighted to enzymes: an enzyme noun AND a library-scale method, per journal. 289 hits across 20 journals, all titles screened, 5 chased to data availability. Outcome: Science adu1058 rejected as a homolog panel (193 adenylate kinase orthologs at 42% mean identity), Protein Sci F1-ATPase rejected (data on request); open are Sci Adv aee9222 (15,000-variant form II rubisco, unreachable -- no PMC record), NAR gkag259 (T7 RNAP, table only in the SI PDF) and Protein Sci pro.70112 (myoglobin DMS, 2,577 rows on Zenodo, human tree). Verdict on the venues: the biotechnology journals (Biotechnol Bioeng, Synth Syst Biotechnol, Enzyme Microb Technol, Metab Eng -- 64 hits) yield nothing because their subject is pathway engineering, and Angew Chem's 62 hits are all one-champion biocatalysis.</t>
        </is>
      </c>
      <c r="C36" s="17" t="inlineStr">
        <is>
          <t>Nucleic Acids Res, Protein Sci, Chembiochem, Biotechnol Bioeng, Synth Syst Biotechnol, PEDS, Chem Sci, Science, Sci Adv, Nat Chem Biol, Nat Catal, AEM, Microb Biotechnol, Metab Eng, Angew Chem, Green Chem, Chem Commun, Biotechnol Biofuels, J Biotechnol, Enzyme Microb Technol -- 2025+2026</t>
        </is>
      </c>
    </row>
    <row r="38">
      <c r="A38" s="8" t="inlineStr">
        <is>
          <t>See the 'Curated' tab for shipped datasets with variant counts, 'Rejected' for every paper chased to a documented reason, and 'Open (maybes)' for leads left for a future session. Full narrative detail, including access routes and per-sweep notes, is in candidates_2025.md on the 2025 branch.</t>
        </is>
      </c>
    </row>
  </sheetData>
  <mergeCells count="3">
    <mergeCell ref="A1:E1"/>
    <mergeCell ref="A23:E23"/>
    <mergeCell ref="A35:E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7" customWidth="1" min="3" max="3"/>
    <col width="13" customWidth="1" min="4" max="4"/>
    <col width="45" customWidth="1" min="5" max="5"/>
    <col width="22" customWidth="1" min="6" max="6"/>
    <col width="16" customWidth="1" min="7" max="7"/>
    <col width="10" customWidth="1" min="8" max="8"/>
    <col width="12" customWidth="1" min="9" max="9"/>
    <col width="45" customWidth="1" min="10" max="10"/>
  </cols>
  <sheetData>
    <row r="1" ht="30" customHeight="1">
      <c r="A1" s="3" t="inlineStr">
        <is>
          <t>#</t>
        </is>
      </c>
      <c r="B1" s="3" t="inlineStr">
        <is>
          <t>First author</t>
        </is>
      </c>
      <c r="C1" s="3" t="inlineStr">
        <is>
          <t>Year</t>
        </is>
      </c>
      <c r="D1" s="3" t="inlineStr">
        <is>
          <t>Journal</t>
        </is>
      </c>
      <c r="E1" s="3" t="inlineStr">
        <is>
          <t>Title</t>
        </is>
      </c>
      <c r="F1" s="3" t="inlineStr">
        <is>
          <t>DOI</t>
        </is>
      </c>
      <c r="G1" s="3" t="inlineStr">
        <is>
          <t>Tree(s)</t>
        </is>
      </c>
      <c r="H1" s="3" t="inlineStr">
        <is>
          <t>Datasets shipped</t>
        </is>
      </c>
      <c r="I1" s="3" t="inlineStr">
        <is>
          <t>Total variants</t>
        </is>
      </c>
      <c r="J1" s="3" t="inlineStr">
        <is>
          <t>Protein(s) / notes</t>
        </is>
      </c>
    </row>
    <row r="2">
      <c r="A2" s="9" t="n">
        <v>1</v>
      </c>
      <c r="B2" s="9" t="inlineStr">
        <is>
          <t>Zhang</t>
        </is>
      </c>
      <c r="C2" s="9" t="n">
        <v>2025</v>
      </c>
      <c r="D2" s="9" t="inlineStr">
        <is>
          <t>Nat Commun</t>
        </is>
      </c>
      <c r="E2" s="9" t="inlineStr">
        <is>
          <t>Machine learning-guided evolution of pyrrolysyl-tRNA synthetase for improved incorporation efficiency of diverse noncanonical amino acids</t>
        </is>
      </c>
      <c r="F2" s="9" t="inlineStr">
        <is>
          <t>10.1038/s41467-025-61952-2</t>
        </is>
      </c>
      <c r="G2" s="9" t="inlineStr">
        <is>
          <t>datasets</t>
        </is>
      </c>
      <c r="H2" s="9" t="n">
        <v>1</v>
      </c>
      <c r="I2" s="9" t="n">
        <v>508</v>
      </c>
      <c r="J2" s="9" t="inlineStr">
        <is>
          <t>IFRS (PylRS variant); FFT-PLSR-guided rounds rebased onto one scale</t>
        </is>
      </c>
    </row>
    <row r="3">
      <c r="A3" s="9" t="n">
        <v>2</v>
      </c>
      <c r="B3" s="9" t="inlineStr">
        <is>
          <t>Huber</t>
        </is>
      </c>
      <c r="C3" s="9" t="n">
        <v>2025</v>
      </c>
      <c r="D3" s="9" t="inlineStr">
        <is>
          <t>Nat Commun</t>
        </is>
      </c>
      <c r="E3" s="9" t="inlineStr">
        <is>
          <t>Data-driven protease engineering by DNA-recording and epistasis-aware machine learning</t>
        </is>
      </c>
      <c r="F3" s="9" t="inlineStr">
        <is>
          <t>10.1038/s41467-025-60622-7</t>
        </is>
      </c>
      <c r="G3" s="9" t="inlineStr">
        <is>
          <t>datasets_virus</t>
        </is>
      </c>
      <c r="H3" s="9" t="n">
        <v>21</v>
      </c>
      <c r="I3" s="9" t="n">
        <v>268446</v>
      </c>
      <c r="J3" s="9" t="inlineStr">
        <is>
          <t>TEV protease (MLDEEP); one dataset per P1' substrate residue plus a full saturation scan</t>
        </is>
      </c>
    </row>
    <row r="4">
      <c r="A4" s="9" t="n">
        <v>3</v>
      </c>
      <c r="B4" s="9" t="inlineStr">
        <is>
          <t>Duan</t>
        </is>
      </c>
      <c r="C4" s="9" t="n">
        <v>2025</v>
      </c>
      <c r="D4" s="9" t="inlineStr">
        <is>
          <t>Nat Commun</t>
        </is>
      </c>
      <c r="E4" s="9" t="inlineStr">
        <is>
          <t>Widespread epistasis shapes RNA polymerase II active site function and evolution</t>
        </is>
      </c>
      <c r="F4" s="9" t="inlineStr">
        <is>
          <t>10.1038/s41467-025-63304-6</t>
        </is>
      </c>
      <c r="G4" s="9" t="inlineStr">
        <is>
          <t>datasets</t>
        </is>
      </c>
      <c r="H4" s="9" t="n">
        <v>9</v>
      </c>
      <c r="I4" s="9" t="n">
        <v>118603</v>
      </c>
      <c r="J4" s="9" t="inlineStr">
        <is>
          <t>RNA Pol II Rpb1 trigger loop, S. cerevisiae; growth fitness across selective conditions</t>
        </is>
      </c>
    </row>
    <row r="5">
      <c r="A5" s="9" t="n">
        <v>4</v>
      </c>
      <c r="B5" s="9" t="inlineStr">
        <is>
          <t>Landwehr</t>
        </is>
      </c>
      <c r="C5" s="9" t="n">
        <v>2025</v>
      </c>
      <c r="D5" s="9" t="inlineStr">
        <is>
          <t>Nat Commun</t>
        </is>
      </c>
      <c r="E5" s="9" t="inlineStr">
        <is>
          <t>Accelerated enzyme engineering by machine-learning guided cell-free expression</t>
        </is>
      </c>
      <c r="F5" s="9" t="inlineStr">
        <is>
          <t>10.1038/s41467-024-55399-0</t>
        </is>
      </c>
      <c r="G5" s="9" t="inlineStr">
        <is>
          <t>datasets</t>
        </is>
      </c>
      <c r="H5" s="9" t="n">
        <v>11</v>
      </c>
      <c r="I5" s="9" t="n">
        <v>11395</v>
      </c>
      <c r="J5" s="9" t="inlineStr">
        <is>
          <t>McbA amide synthetase; conversion of 9 pharmaceuticals Plus two ML-predicted combinatorial datasets (243 multi-site variants each, moclobemide and metoclopramide) from Source Data Fig 4a/4b, whose readout is normalized to the best variant in the set rather than to wild type.</t>
        </is>
      </c>
    </row>
    <row r="6">
      <c r="A6" s="9" t="n">
        <v>5</v>
      </c>
      <c r="B6" s="9" t="inlineStr">
        <is>
          <t>Yang</t>
        </is>
      </c>
      <c r="C6" s="9" t="n">
        <v>2025</v>
      </c>
      <c r="D6" s="9" t="inlineStr">
        <is>
          <t>Nat Commun</t>
        </is>
      </c>
      <c r="E6" s="9" t="inlineStr">
        <is>
          <t>Active learning-assisted directed evolution</t>
        </is>
      </c>
      <c r="F6" s="9" t="inlineStr">
        <is>
          <t>10.1038/s41467-025-55987-8</t>
        </is>
      </c>
      <c r="G6" s="9" t="inlineStr">
        <is>
          <t>datasets</t>
        </is>
      </c>
      <c r="H6" s="9" t="n">
        <v>2</v>
      </c>
      <c r="I6" s="9" t="n">
        <v>790</v>
      </c>
      <c r="J6" s="9" t="inlineStr">
        <is>
          <t>ParLQ; diastereoselectivity and yield on a non-native cyclopropanation (ALDE)</t>
        </is>
      </c>
    </row>
    <row r="7">
      <c r="A7" s="9" t="n">
        <v>6</v>
      </c>
      <c r="B7" s="9" t="inlineStr">
        <is>
          <t>Singh</t>
        </is>
      </c>
      <c r="C7" s="9" t="n">
        <v>2025</v>
      </c>
      <c r="D7" s="9" t="inlineStr">
        <is>
          <t>Nat Commun</t>
        </is>
      </c>
      <c r="E7" s="9" t="inlineStr">
        <is>
          <t>A generalized platform for artificial intelligence-powered autonomous enzyme engineering</t>
        </is>
      </c>
      <c r="F7" s="9" t="inlineStr">
        <is>
          <t>10.1038/s41467-025-61209-y</t>
        </is>
      </c>
      <c r="G7" s="9" t="inlineStr">
        <is>
          <t>datasets</t>
        </is>
      </c>
      <c r="H7" s="9" t="n">
        <v>2</v>
      </c>
      <c r="I7" s="9" t="n">
        <v>931</v>
      </c>
      <c r="J7" s="9" t="inlineStr">
        <is>
          <t>AtHMT methyltransferase (482) and YmPhytase phytase (449); all four rounds of each autonomous engineering campaign, singles through quadruples</t>
        </is>
      </c>
    </row>
    <row r="8">
      <c r="A8" s="9" t="n">
        <v>7</v>
      </c>
      <c r="B8" s="9" t="inlineStr">
        <is>
          <t>Zhang</t>
        </is>
      </c>
      <c r="C8" s="9" t="n">
        <v>2025</v>
      </c>
      <c r="D8" s="9" t="inlineStr">
        <is>
          <t>Nat Commun</t>
        </is>
      </c>
      <c r="E8" s="9" t="inlineStr">
        <is>
          <t>Integrating protein language models and automatic biofoundry for enhanced protein evolution</t>
        </is>
      </c>
      <c r="F8" s="9" t="inlineStr">
        <is>
          <t>10.1038/s41467-025-56751-8</t>
        </is>
      </c>
      <c r="G8" s="9" t="inlineStr">
        <is>
          <t>datasets</t>
        </is>
      </c>
      <c r="H8" s="9" t="n">
        <v>1</v>
      </c>
      <c r="I8" s="9" t="n">
        <v>384</v>
      </c>
      <c r="J8" s="9" t="inlineStr">
        <is>
          <t>pCNFRS tRNA synthetase; 4 rounds of ESM-2-nominated variants</t>
        </is>
      </c>
    </row>
    <row r="9">
      <c r="A9" s="9" t="n">
        <v>8</v>
      </c>
      <c r="B9" s="9" t="inlineStr">
        <is>
          <t>Silverstein</t>
        </is>
      </c>
      <c r="C9" s="9" t="n">
        <v>2025</v>
      </c>
      <c r="D9" s="9" t="inlineStr">
        <is>
          <t>Nature</t>
        </is>
      </c>
      <c r="E9" s="9" t="inlineStr">
        <is>
          <t>Custom CRISPR-Cas9 PAM variants via scalable engineering and machine learning</t>
        </is>
      </c>
      <c r="F9" s="9" t="inlineStr">
        <is>
          <t>10.1038/s41586-025-09021-y</t>
        </is>
      </c>
      <c r="G9" s="9" t="inlineStr">
        <is>
          <t>datasets</t>
        </is>
      </c>
      <c r="H9" s="9" t="n">
        <v>64</v>
      </c>
      <c r="I9" s="9" t="n">
        <v>68992</v>
      </c>
      <c r="J9" s="9" t="inlineStr">
        <is>
          <t>PAMmla; ~1,078 SpCas9 variants per dataset, PAM specificity</t>
        </is>
      </c>
    </row>
    <row r="10">
      <c r="A10" s="9" t="n">
        <v>9</v>
      </c>
      <c r="B10" s="9" t="inlineStr">
        <is>
          <t>Alamos</t>
        </is>
      </c>
      <c r="C10" s="9" t="n">
        <v>2025</v>
      </c>
      <c r="D10" s="9" t="inlineStr">
        <is>
          <t>Nat Biotechnol</t>
        </is>
      </c>
      <c r="E10" s="9" t="inlineStr">
        <is>
          <t>Multiplexed profiling of transcriptional regulators in plant cells</t>
        </is>
      </c>
      <c r="F10" s="9" t="inlineStr">
        <is>
          <t>10.1038/s41587-025-02880-w</t>
        </is>
      </c>
      <c r="G10" s="9" t="inlineStr">
        <is>
          <t>datasets</t>
        </is>
      </c>
      <c r="H10" s="9" t="n">
        <v>1</v>
      </c>
      <c r="I10" s="9" t="n">
        <v>243</v>
      </c>
      <c r="J10" s="9" t="inlineStr">
        <is>
          <t>CONSTANS activation domain (ENTRAP-seq); tile libraries out of scope, single-substitution table only</t>
        </is>
      </c>
    </row>
    <row r="11">
      <c r="A11" s="9" t="n">
        <v>10</v>
      </c>
      <c r="B11" s="9" t="inlineStr">
        <is>
          <t>Jiang</t>
        </is>
      </c>
      <c r="C11" s="9" t="n">
        <v>2024</v>
      </c>
      <c r="D11" s="9" t="inlineStr">
        <is>
          <t>Sci Adv</t>
        </is>
      </c>
      <c r="E11" s="9" t="inlineStr">
        <is>
          <t>A general temperature-guided language model to design proteins of enhanced stability and activity</t>
        </is>
      </c>
      <c r="F11" s="9" t="inlineStr">
        <is>
          <t>10.1126/sciadv.adr2641</t>
        </is>
      </c>
      <c r="G11" s="9" t="inlineStr">
        <is>
          <t>datasets + datasets_virus</t>
        </is>
      </c>
      <c r="H11" s="9" t="n">
        <v>6</v>
      </c>
      <c r="I11" s="9" t="n">
        <v>353</v>
      </c>
      <c r="J11" s="9" t="inlineStr">
        <is>
          <t>PRIME platform; Tgo-D4K polymerase, VHH nanobody, LbCas12a, creatinase, T7 RNA polymerase</t>
        </is>
      </c>
    </row>
    <row r="12">
      <c r="A12" s="9" t="n">
        <v>11</v>
      </c>
      <c r="B12" s="9" t="inlineStr">
        <is>
          <t>Estevam</t>
        </is>
      </c>
      <c r="C12" s="9" t="n">
        <v>2025</v>
      </c>
      <c r="D12" s="9" t="inlineStr">
        <is>
          <t>eLife</t>
        </is>
      </c>
      <c r="E12" s="9" t="inlineStr">
        <is>
          <t>Mapping kinase domain resistance mechanisms for the MET receptor tyrosine kinase via deep mutational scanning</t>
        </is>
      </c>
      <c r="F12" s="9" t="inlineStr">
        <is>
          <t>10.7554/eLife.101882</t>
        </is>
      </c>
      <c r="G12" s="9" t="inlineStr">
        <is>
          <t>datasets_human</t>
        </is>
      </c>
      <c r="H12" s="9" t="n">
        <v>12</v>
      </c>
      <c r="I12" s="9" t="n">
        <v>44889</v>
      </c>
      <c r="J12" s="9" t="inlineStr">
        <is>
          <t>MET kinase domain; one dataset per inhibitor plus DMSO control</t>
        </is>
      </c>
    </row>
    <row r="13">
      <c r="A13" s="9" t="n">
        <v>12</v>
      </c>
      <c r="B13" s="9" t="inlineStr">
        <is>
          <t>Jiang</t>
        </is>
      </c>
      <c r="C13" s="9" t="n">
        <v>2025</v>
      </c>
      <c r="D13" s="9" t="inlineStr">
        <is>
          <t>Nat Commun</t>
        </is>
      </c>
      <c r="E13" s="9" t="inlineStr">
        <is>
          <t>Deep mutational scanning of the multi-domain phosphatase SHP2 reveals mechanisms of regulation and pathogenicity</t>
        </is>
      </c>
      <c r="F13" s="9" t="inlineStr">
        <is>
          <t>10.1038/s41467-025-60641-4</t>
        </is>
      </c>
      <c r="G13" s="9" t="inlineStr">
        <is>
          <t>datasets_human</t>
        </is>
      </c>
      <c r="H13" s="9" t="n">
        <v>2</v>
      </c>
      <c r="I13" s="9" t="n">
        <v>16181</v>
      </c>
      <c r="J13" s="9" t="inlineStr">
        <is>
          <t>SHP2 full-length and isolated PTP domain; yeast growth-rescue enrichment</t>
        </is>
      </c>
    </row>
    <row r="14">
      <c r="A14" s="9" t="n">
        <v>13</v>
      </c>
      <c r="B14" s="9" t="inlineStr">
        <is>
          <t>Wysocki</t>
        </is>
      </c>
      <c r="C14" s="9" t="n">
        <v>2026</v>
      </c>
      <c r="D14" s="9" t="inlineStr">
        <is>
          <t>ACS Synth Biol</t>
        </is>
      </c>
      <c r="E14" s="9" t="inlineStr">
        <is>
          <t>High-Throughput Detection of Cyanobacterial Form I Rubisco Assembly</t>
        </is>
      </c>
      <c r="F14" s="9" t="inlineStr">
        <is>
          <t>10.1021/acssynbio.5c00591</t>
        </is>
      </c>
      <c r="G14" s="9" t="inlineStr">
        <is>
          <t>datasets</t>
        </is>
      </c>
      <c r="H14" s="9" t="n">
        <v>2</v>
      </c>
      <c r="I14" s="9" t="n">
        <v>13216</v>
      </c>
      <c r="J14" s="9" t="inlineStr">
        <is>
          <t>RbcL (H. neapolitanus); phage-selection site-saturation, with/without GroELS</t>
        </is>
      </c>
    </row>
    <row r="15">
      <c r="A15" s="9" t="n">
        <v>14</v>
      </c>
      <c r="B15" s="9" t="inlineStr">
        <is>
          <t>Thornton</t>
        </is>
      </c>
      <c r="C15" s="9" t="n">
        <v>2025</v>
      </c>
      <c r="D15" s="9" t="inlineStr">
        <is>
          <t>ACS Synth Biol</t>
        </is>
      </c>
      <c r="E15" s="9" t="inlineStr">
        <is>
          <t>Cell-Free Protein Synthesis as a Method to Rapidly Screen Machine Learning-Generated Protease Variants</t>
        </is>
      </c>
      <c r="F15" s="9" t="inlineStr">
        <is>
          <t>10.1021/acssynbio.5c00062</t>
        </is>
      </c>
      <c r="G15" s="9" t="inlineStr">
        <is>
          <t>datasets_virus</t>
        </is>
      </c>
      <c r="H15" s="9" t="n">
        <v>2</v>
      </c>
      <c r="I15" s="9" t="n">
        <v>96</v>
      </c>
      <c r="J15" s="9" t="inlineStr">
        <is>
          <t>Con1, a designed consensus potyviral protease; region A and B site-saturation</t>
        </is>
      </c>
    </row>
    <row r="16">
      <c r="A16" s="9" t="n">
        <v>15</v>
      </c>
      <c r="B16" s="9" t="inlineStr">
        <is>
          <t>Teo</t>
        </is>
      </c>
      <c r="C16" s="9" t="n">
        <v>2025</v>
      </c>
      <c r="D16" s="9" t="inlineStr">
        <is>
          <t>Cell Rep</t>
        </is>
      </c>
      <c r="E16" s="9" t="inlineStr">
        <is>
          <t>Probing the functional constraints of influenza A virus NEP by deep mutational scanning</t>
        </is>
      </c>
      <c r="F16" s="9" t="inlineStr">
        <is>
          <t>10.1016/j.celrep.2024.115196</t>
        </is>
      </c>
      <c r="G16" s="9" t="inlineStr">
        <is>
          <t>datasets_virus</t>
        </is>
      </c>
      <c r="H16" s="9" t="n">
        <v>1</v>
      </c>
      <c r="I16" s="9" t="n">
        <v>1894</v>
      </c>
      <c r="J16" s="9" t="inlineStr">
        <is>
          <t>Influenza A NEP, A/WSN/1933 strain; found via title sweep, data was on Zenodo not in the article supplement</t>
        </is>
      </c>
    </row>
    <row r="17">
      <c r="A17" s="9" t="n">
        <v>16</v>
      </c>
      <c r="B17" s="9" t="inlineStr">
        <is>
          <t>Wong</t>
        </is>
      </c>
      <c r="C17" s="9" t="n">
        <v>2025</v>
      </c>
      <c r="D17" s="9" t="inlineStr">
        <is>
          <t>Nat Commun</t>
        </is>
      </c>
      <c r="E17" s="9" t="inlineStr">
        <is>
          <t>Characterizing and engineering post-translational modifications with high-throughput cell-free expression</t>
        </is>
      </c>
      <c r="F17" s="9" t="inlineStr">
        <is>
          <t>10.1038/s41467-025-60526-6</t>
        </is>
      </c>
      <c r="G17" s="9" t="inlineStr">
        <is>
          <t>datasets</t>
        </is>
      </c>
      <c r="H17" s="9" t="n">
        <v>1</v>
      </c>
      <c r="I17" s="9" t="n">
        <v>285</v>
      </c>
      <c r="J17" s="9" t="inlineStr">
        <is>
          <t>CjPglB oligosaccharyltransferase; 15-position site-saturation, AlphaLISA glycosylation signal</t>
        </is>
      </c>
    </row>
    <row r="18">
      <c r="A18" s="9" t="n">
        <v>17</v>
      </c>
      <c r="B18" s="9" t="inlineStr">
        <is>
          <t>Somvilla</t>
        </is>
      </c>
      <c r="C18" s="9" t="n">
        <v>2025</v>
      </c>
      <c r="D18" s="9" t="inlineStr">
        <is>
          <t>ACS Catalysis</t>
        </is>
      </c>
      <c r="E18" s="9" t="inlineStr">
        <is>
          <t>Ultrahigh-Throughput Activity Engineering of Promiscuous Amidases through a Fluorescence-Activated Cell Sorting Assay</t>
        </is>
      </c>
      <c r="F18" s="9" t="inlineStr">
        <is>
          <t>10.1021/acscatal.5c01903</t>
        </is>
      </c>
      <c r="G18" s="9" t="inlineStr">
        <is>
          <t>datasets</t>
        </is>
      </c>
      <c r="H18" s="9" t="n">
        <v>8</v>
      </c>
      <c r="I18" s="9" t="n">
        <v>160</v>
      </c>
      <c r="J18" s="9" t="inlineStr">
        <is>
          <t>SaAmd amidase (Sphingomonas alpina); one dataset per substrate across 8 amide/ester/carbamate substrates</t>
        </is>
      </c>
    </row>
    <row r="19">
      <c r="A19" s="9" t="inlineStr">
        <is>
          <t>18</t>
        </is>
      </c>
      <c r="B19" s="9" t="inlineStr">
        <is>
          <t>Vanella</t>
        </is>
      </c>
      <c r="C19" s="9" t="inlineStr">
        <is>
          <t>2026</t>
        </is>
      </c>
      <c r="D19" s="9" t="inlineStr">
        <is>
          <t>Nat Commun</t>
        </is>
      </c>
      <c r="E19" s="9" t="inlineStr">
        <is>
          <t>Decoding the substrate specificity landscape of a promiscuous enzyme through multi-substrate mutational scanning</t>
        </is>
      </c>
      <c r="F19" s="9" t="inlineStr">
        <is>
          <t>10.1038/s41467-026-69913-z</t>
        </is>
      </c>
      <c r="G19" s="9" t="inlineStr">
        <is>
          <t>datasets</t>
        </is>
      </c>
      <c r="H19" s="9" t="inlineStr">
        <is>
          <t>5</t>
        </is>
      </c>
      <c r="I19" s="9" t="inlineStr">
        <is>
          <t>29000</t>
        </is>
      </c>
      <c r="J19" s="9" t="inlineStr">
        <is>
          <t>D-amino acid oxidase (DAOx), Rhodotorula gracilis, 365 aa. One EP-Seq library of 5,800 single missense variants scored against five D-amino acid substrates, each at its Km -- one dataset per substrate. Readout is the source's expression-normalized activity fitness (WT = 1 by definition, no WT row).</t>
        </is>
      </c>
    </row>
    <row r="20">
      <c r="A20" s="9" t="inlineStr">
        <is>
          <t>19</t>
        </is>
      </c>
      <c r="B20" s="9" t="inlineStr">
        <is>
          <t>Jansen</t>
        </is>
      </c>
      <c r="C20" s="9" t="inlineStr">
        <is>
          <t>2026</t>
        </is>
      </c>
      <c r="D20" s="9" t="inlineStr">
        <is>
          <t>Nucleic Acids Res</t>
        </is>
      </c>
      <c r="E20" s="9" t="inlineStr">
        <is>
          <t>Mapping the phenotypic landscape of a transcriptional repressor using deep mutational scanning and growth-based quantitative sequencing</t>
        </is>
      </c>
      <c r="F20" s="9" t="inlineStr">
        <is>
          <t>10.1093/nar/gkag206</t>
        </is>
      </c>
      <c r="G20" s="9" t="inlineStr">
        <is>
          <t>datasets</t>
        </is>
      </c>
      <c r="H20" s="9" t="inlineStr">
        <is>
          <t>3</t>
        </is>
      </c>
      <c r="I20" s="9" t="inlineStr">
        <is>
          <t>28671</t>
        </is>
      </c>
      <c r="J20" s="9" t="inlineStr">
        <is>
          <t>CymR (TetR family, Pseudomonas putida), 203 aa, assayed as the S110G/A171V engineered parent. 9,557 substitution variants (singles through octuples) per dataset, one per ligand: perillic acid, perillyl alcohol, S-limonene. Readout is log10 fold induction Ginf/G0 from a Hill fit. First use of Activity/TranscriptionalRegulation/. The 11,671 insertion and deletion variants are out of format.</t>
        </is>
      </c>
    </row>
    <row r="21">
      <c r="A21" s="9" t="inlineStr">
        <is>
          <t>20</t>
        </is>
      </c>
      <c r="B21" s="9" t="inlineStr">
        <is>
          <t>Kung</t>
        </is>
      </c>
      <c r="C21" s="9" t="inlineStr">
        <is>
          <t>2025</t>
        </is>
      </c>
      <c r="D21" s="9" t="inlineStr">
        <is>
          <t>Protein Sci</t>
        </is>
      </c>
      <c r="E21" s="9" t="inlineStr">
        <is>
          <t>Deep mutational scanning reveals a de novo disulfide bond and combinatorial mutations for engineering thermostable myoglobin</t>
        </is>
      </c>
      <c r="F21" s="9" t="inlineStr">
        <is>
          <t>10.1002/pro.70112</t>
        </is>
      </c>
      <c r="G21" s="9" t="inlineStr">
        <is>
          <t>datasets_human</t>
        </is>
      </c>
      <c r="H21" s="9" t="inlineStr">
        <is>
          <t>1</t>
        </is>
      </c>
      <c r="I21" s="9" t="inlineStr">
        <is>
          <t>2350</t>
        </is>
      </c>
      <c r="J21" s="9" t="inlineStr">
        <is>
          <t>Human myoglobin (hMb), 154 aa, identical to UniProt P02144. 2,350 missense variants covering all 154 positions, by yeast surface display and FACS. Readout is the expression fitness score (display level), which the paper validates as a thermostability proxy. First use of Expression/SurfaceDisplay/. Labels were renumbered by -136 off the Aga2p fusion construct. The 109 synonymous variants encode wild-type protein and collapse into the WT row.</t>
        </is>
      </c>
    </row>
    <row r="22">
      <c r="A22" s="10" t="inlineStr">
        <is>
          <t>TOTAL</t>
        </is>
      </c>
      <c r="B22" s="4" t="n"/>
      <c r="C22" s="4" t="n"/>
      <c r="D22" s="4" t="n"/>
      <c r="E22" s="4" t="n"/>
      <c r="F22" s="4" t="n"/>
      <c r="G22" s="4" t="n"/>
      <c r="H22" s="10">
        <f>SUM(H2:H21)</f>
        <v/>
      </c>
      <c r="I22" s="10">
        <f>SUM(I2:I21)</f>
        <v/>
      </c>
      <c r="J22"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2" customWidth="1" min="3" max="3"/>
    <col width="26" customWidth="1" min="4" max="4"/>
    <col width="70" customWidth="1" min="5" max="5"/>
  </cols>
  <sheetData>
    <row r="1" ht="30" customHeight="1">
      <c r="A1" s="3" t="inlineStr">
        <is>
          <t>#</t>
        </is>
      </c>
      <c r="B1" s="3" t="inlineStr">
        <is>
          <t>Paper (short label)</t>
        </is>
      </c>
      <c r="C1" s="3" t="inlineStr">
        <is>
          <t>DOI</t>
        </is>
      </c>
      <c r="D1" s="3" t="inlineStr">
        <is>
          <t>Sweep</t>
        </is>
      </c>
      <c r="E1" s="3" t="inlineStr">
        <is>
          <t>Reason rejected</t>
        </is>
      </c>
    </row>
    <row r="2">
      <c r="A2" s="11" t="n">
        <v>1</v>
      </c>
      <c r="B2" s="11" t="inlineStr">
        <is>
          <t>iCASE 2025, thermostability/activity tailoring</t>
        </is>
      </c>
      <c r="C2" s="11" t="inlineStr">
        <is>
          <t>10.1038/s41467-025-55944-5</t>
        </is>
      </c>
      <c r="D2" s="11" t="inlineStr">
        <is>
          <t>Second sweep</t>
        </is>
      </c>
      <c r="E2" s="11" t="inlineStr">
        <is>
          <t>No work item reaches the 20-variant floor. 63-sheet Source Data workbook; every sheet with mutant labels holds at most 16 rows; the large sheets are simulation output (DSI, compressibility, binding free energy), not experimental measurement.</t>
        </is>
      </c>
    </row>
    <row r="3">
      <c r="A3" s="11" t="n">
        <v>2</v>
      </c>
      <c r="B3" s="11" t="inlineStr">
        <is>
          <t>Artificial metathase (de novo + directed evolution)</t>
        </is>
      </c>
      <c r="C3" s="11" t="inlineStr">
        <is>
          <t>10.1038/s41929-025-01436-0</t>
        </is>
      </c>
      <c r="D3" s="11" t="inlineStr">
        <is>
          <t>Second sweep</t>
        </is>
      </c>
      <c r="E3" s="11" t="inlineStr">
        <is>
          <t>No variant table. One spreadsheet per figure, 4-38 rows each of kinetics/titration data, none a per-variant list.</t>
        </is>
      </c>
    </row>
    <row r="4">
      <c r="A4" s="11" t="n">
        <v>3</v>
      </c>
      <c r="B4" s="11" t="inlineStr">
        <is>
          <t>Kemp eliminase distal mutations (3 de novo enzymes)</t>
        </is>
      </c>
      <c r="C4" s="11" t="inlineStr">
        <is>
          <t>10.1038/s41467-025-63802-7</t>
        </is>
      </c>
      <c r="D4" s="11" t="inlineStr">
        <is>
          <t>Second sweep</t>
        </is>
      </c>
      <c r="E4" s="11" t="inlineStr">
        <is>
          <t>No variant table. Four sheets of kinetic traces / stopped-flow raw data, no mutant-labelled block.</t>
        </is>
      </c>
    </row>
    <row r="5">
      <c r="A5" s="11" t="n">
        <v>4</v>
      </c>
      <c r="B5" s="11" t="inlineStr">
        <is>
          <t>ML prediction-tool papers evaluated on others' data (CatPred, CataPro, TopEC, PreMode, DeepMVP, ABACUS-T, LassoESM, cross-attention specificity GNN, biophysics-based PLMs)</t>
        </is>
      </c>
      <c r="C5" s="11" t="inlineStr">
        <is>
          <t>(various, not individually recorded)</t>
        </is>
      </c>
      <c r="D5" s="11" t="inlineStr">
        <is>
          <t>Second sweep</t>
        </is>
      </c>
      <c r="E5" s="11" t="inlineStr">
        <is>
          <t>Phase 1 exclusion: a dataset a paper merely evaluates on belongs to whoever measured it, not to the modeling paper.</t>
        </is>
      </c>
    </row>
    <row r="6">
      <c r="A6" s="11" t="n">
        <v>5</v>
      </c>
      <c r="B6" s="11" t="inlineStr">
        <is>
          <t>AI-designed base/prime editors</t>
        </is>
      </c>
      <c r="C6" s="11" t="inlineStr">
        <is>
          <t>10.1038/s41586-025-09298-z</t>
        </is>
      </c>
      <c r="D6" s="11" t="inlineStr">
        <is>
          <t>Second sweep</t>
        </is>
      </c>
      <c r="E6" s="11" t="inlineStr">
        <is>
          <t>AI-designed editors are not variants of one wild type.</t>
        </is>
      </c>
    </row>
    <row r="7">
      <c r="A7" s="11" t="n">
        <v>6</v>
      </c>
      <c r="B7" s="11" t="inlineStr">
        <is>
          <t>Reviews/perspectives bundle (ML applied to biocatalysis, PET hydrolase standardisation guidelines, C1 utilisation)</t>
        </is>
      </c>
      <c r="C7" s="11" t="inlineStr">
        <is>
          <t>(not recorded)</t>
        </is>
      </c>
      <c r="D7" s="11" t="inlineStr">
        <is>
          <t>Second sweep</t>
        </is>
      </c>
      <c r="E7" s="11" t="inlineStr">
        <is>
          <t>Reviews, not primary measurement papers.</t>
        </is>
      </c>
    </row>
    <row r="8">
      <c r="A8" s="11" t="n">
        <v>7</v>
      </c>
      <c r="B8" s="11" t="inlineStr">
        <is>
          <t>DMS in E. coli periplasm (human A-beta-42 amyloid propensity)</t>
        </is>
      </c>
      <c r="C8" s="11" t="inlineStr">
        <is>
          <t>10.1073/pnas.2516165122</t>
        </is>
      </c>
      <c r="D8" s="11" t="inlineStr">
        <is>
          <t>Third sweep</t>
        </is>
      </c>
      <c r="E8" s="11" t="inlineStr">
        <is>
          <t>Assay host is bacterial but the protein is human (A-beta-42); readout is aggregation propensity via a bacterial reporter, not enzyme fitness. Deprioritized to datasets_human/ scope, not chased further.</t>
        </is>
      </c>
    </row>
    <row r="9">
      <c r="A9" s="11" t="n">
        <v>8</v>
      </c>
      <c r="B9" s="11" t="inlineStr">
        <is>
          <t>Reshaping a glycoside hydrolase active site (330,000-clone droplet sort)</t>
        </is>
      </c>
      <c r="C9" s="11" t="inlineStr">
        <is>
          <t>10.1021/acscentsci.5c01227</t>
        </is>
      </c>
      <c r="D9" s="11" t="inlineStr">
        <is>
          <t>Third sweep</t>
        </is>
      </c>
      <c r="E9" s="11" t="inlineStr">
        <is>
          <t>Only a handful of named winners (M1, M2, ...) individually characterised; no systematic per-variant table in the paper or its PDF-only supplement.</t>
        </is>
      </c>
    </row>
    <row r="10">
      <c r="A10" s="11" t="n">
        <v>9</v>
      </c>
      <c r="B10" s="11" t="inlineStr">
        <is>
          <t>Deep Mutational Scanning of FDX1</t>
        </is>
      </c>
      <c r="C10" s="11" t="inlineStr">
        <is>
          <t>10.1038/s41467-025-67869-0</t>
        </is>
      </c>
      <c r="D10" s="11" t="inlineStr">
        <is>
          <t>Third sweep</t>
        </is>
      </c>
      <c r="E10" s="11" t="inlineStr">
        <is>
          <t>FigShare deposit holds only raw Enrich2-style per-sample counts (2.1 GB), not scores. Source Data has only anonymized score distributions and position-averaged values, no per-variant readout.</t>
        </is>
      </c>
    </row>
    <row r="11">
      <c r="A11" s="11" t="n">
        <v>10</v>
      </c>
      <c r="B11" s="11" t="inlineStr">
        <is>
          <t>EGFR resistance to 4th-generation TKIs</t>
        </is>
      </c>
      <c r="C11" s="11" t="inlineStr">
        <is>
          <t>10.1038/s41698-025-01086-2</t>
        </is>
      </c>
      <c r="D11" s="11" t="inlineStr">
        <is>
          <t>Third sweep</t>
        </is>
      </c>
      <c r="E11" s="11" t="inlineStr">
        <is>
          <t>Same experimental shape as the curated MET paper, but no GitHub deposit. Data availability names only raw GEO reads; the PDF-only supplement holds FEP calculations for a handful of representative isoforms, not a per-variant table.</t>
        </is>
      </c>
    </row>
    <row r="12">
      <c r="A12" s="11" t="n">
        <v>11</v>
      </c>
      <c r="B12" s="11" t="inlineStr">
        <is>
          <t>Glucokinase variant characterization</t>
        </is>
      </c>
      <c r="C12" s="11" t="inlineStr">
        <is>
          <t>10.3390/ijms27010156</t>
        </is>
      </c>
      <c r="D12" s="11" t="inlineStr">
        <is>
          <t>Third sweep</t>
        </is>
      </c>
      <c r="E12" s="11" t="inlineStr">
        <is>
          <t>25 individually chosen clinical variants, well under the floor; not a saturation library.</t>
        </is>
      </c>
    </row>
    <row r="13">
      <c r="A13" s="11" t="n">
        <v>12</v>
      </c>
      <c r="B13" s="11" t="inlineStr">
        <is>
          <t>Directed evolution of a beta-lactamase (conformational states)</t>
        </is>
      </c>
      <c r="C13" s="11" t="inlineStr">
        <is>
          <t>10.1002/pro.70322</t>
        </is>
      </c>
      <c r="D13" s="11" t="inlineStr">
        <is>
          <t>Third sweep</t>
        </is>
      </c>
      <c r="E13" s="11" t="inlineStr">
        <is>
          <t>3 successive mutants + WT, well under the floor.</t>
        </is>
      </c>
    </row>
    <row r="14">
      <c r="A14" s="11" t="n">
        <v>13</v>
      </c>
      <c r="B14" s="11" t="inlineStr">
        <is>
          <t>Deep structure-function analysis of Mus81 (dominant mutational scanning)</t>
        </is>
      </c>
      <c r="C14" s="11" t="inlineStr">
        <is>
          <t>10.1073/pnas.2506043122</t>
        </is>
      </c>
      <c r="D14" s="11" t="inlineStr">
        <is>
          <t>Third sweep</t>
        </is>
      </c>
      <c r="E14" s="11" t="inlineStr">
        <is>
          <t>Deposited data is a binary Y/N hit classification (dominant / fails-to-complement), not a quantitative per-variant score; graded growth-sensitivity data not deposited.</t>
        </is>
      </c>
    </row>
    <row r="15">
      <c r="A15" s="11" t="n">
        <v>14</v>
      </c>
      <c r="B15" s="11" t="inlineStr">
        <is>
          <t>Pyranose oxidase oligomerization engineering</t>
        </is>
      </c>
      <c r="C15" s="11" t="inlineStr">
        <is>
          <t>10.1111/febs.70004</t>
        </is>
      </c>
      <c r="D15" s="11" t="inlineStr">
        <is>
          <t>Third sweep</t>
        </is>
      </c>
      <c r="E15" s="11" t="inlineStr">
        <is>
          <t>Zenodo deposit is models/docking scores only; experimental data available upon request.</t>
        </is>
      </c>
    </row>
    <row r="16">
      <c r="A16" s="11" t="n">
        <v>15</v>
      </c>
      <c r="B16" s="11" t="inlineStr">
        <is>
          <t>Isophthalate dioxygenase engineering</t>
        </is>
      </c>
      <c r="C16" s="11" t="inlineStr">
        <is>
          <t>10.1128/jb.00221-25</t>
        </is>
      </c>
      <c r="D16" s="11" t="inlineStr">
        <is>
          <t>Third sweep</t>
        </is>
      </c>
      <c r="E16" s="11" t="inlineStr">
        <is>
          <t>No data-availability statement found.</t>
        </is>
      </c>
    </row>
    <row r="17">
      <c r="A17" s="11" t="n">
        <v>16</v>
      </c>
      <c r="B17" s="11" t="inlineStr">
        <is>
          <t>Confocal absorbance-activated droplet sorting (cAADS)</t>
        </is>
      </c>
      <c r="C17" s="11" t="inlineStr">
        <is>
          <t>10.1002/advs.202505324</t>
        </is>
      </c>
      <c r="D17" s="11" t="inlineStr">
        <is>
          <t>Third sweep</t>
        </is>
      </c>
      <c r="E17" s="11" t="inlineStr">
        <is>
          <t>Data available from the corresponding author upon reasonable request.</t>
        </is>
      </c>
    </row>
    <row r="18">
      <c r="A18" s="11" t="n">
        <v>17</v>
      </c>
      <c r="B18" s="11" t="inlineStr">
        <is>
          <t>Directed evolution of a plant Rubisco chaperone</t>
        </is>
      </c>
      <c r="C18" s="11" t="inlineStr">
        <is>
          <t>10.1073/pnas.2510701122</t>
        </is>
      </c>
      <c r="D18" s="11" t="inlineStr">
        <is>
          <t>Third + fifth sweep</t>
        </is>
      </c>
      <c r="E18" s="11" t="inlineStr">
        <is>
          <t>PDF-only SI; text says 'selected' variants, not a full library table.</t>
        </is>
      </c>
    </row>
    <row r="19">
      <c r="A19" s="11" t="n">
        <v>18</v>
      </c>
      <c r="B19" s="11" t="inlineStr">
        <is>
          <t>In vivo directed evolution of an ultrafast Rubisco</t>
        </is>
      </c>
      <c r="C19" s="11" t="inlineStr">
        <is>
          <t>10.1073/pnas.2505083122</t>
        </is>
      </c>
      <c r="D19" s="11" t="inlineStr">
        <is>
          <t>Third + fifth sweep</t>
        </is>
      </c>
      <c r="E19" s="11" t="inlineStr">
        <is>
          <t>Kinetic characterisation covers only ~7 named substitutions; the 292-row dataset is population allele-frequency trajectories per locus across evolution rounds, not per-clone genotype-fitness pairs.</t>
        </is>
      </c>
    </row>
    <row r="20">
      <c r="A20" s="11" t="n">
        <v>19</v>
      </c>
      <c r="B20" s="11" t="inlineStr">
        <is>
          <t>Directed evolution of a covalent RNA-labeling tag</t>
        </is>
      </c>
      <c r="C20" s="11" t="inlineStr">
        <is>
          <t>10.1073/pnas.2422085122</t>
        </is>
      </c>
      <c r="D20" s="11" t="inlineStr">
        <is>
          <t>Third + fifth sweep</t>
        </is>
      </c>
      <c r="E20" s="11" t="inlineStr">
        <is>
          <t>PDF-only SI.</t>
        </is>
      </c>
    </row>
    <row r="21">
      <c r="A21" s="11" t="n">
        <v>20</v>
      </c>
      <c r="B21" s="11" t="inlineStr">
        <is>
          <t>Nanobody-antigen interface optimisation</t>
        </is>
      </c>
      <c r="C21" s="11" t="inlineStr">
        <is>
          <t>10.1073/pnas.2426438122</t>
        </is>
      </c>
      <c r="D21" s="11" t="inlineStr">
        <is>
          <t>Third + fifth sweep</t>
        </is>
      </c>
      <c r="E21" s="11" t="inlineStr">
        <is>
          <t>PDF-only SI; phage display down to a small validated set.</t>
        </is>
      </c>
    </row>
    <row r="22">
      <c r="A22" s="11" t="n">
        <v>21</v>
      </c>
      <c r="B22" s="11" t="inlineStr">
        <is>
          <t>PET hydrolases from natural diversity</t>
        </is>
      </c>
      <c r="C22" s="11" t="inlineStr">
        <is>
          <t>(not recorded)</t>
        </is>
      </c>
      <c r="D22" s="11" t="inlineStr">
        <is>
          <t>Fourth sweep (ACS)</t>
        </is>
      </c>
      <c r="E22" s="11" t="inlineStr">
        <is>
          <t>Homolog panel of ~400 distinct natural sequences, no shared wild type.</t>
        </is>
      </c>
    </row>
    <row r="23">
      <c r="A23" s="11" t="n">
        <v>22</v>
      </c>
      <c r="B23" s="11" t="inlineStr">
        <is>
          <t>KdcA directed evolution</t>
        </is>
      </c>
      <c r="C23" s="11" t="inlineStr">
        <is>
          <t>(not recorded)</t>
        </is>
      </c>
      <c r="D23" s="11" t="inlineStr">
        <is>
          <t>Fourth sweep (ACS)</t>
        </is>
      </c>
      <c r="E23" s="11" t="inlineStr">
        <is>
          <t>PDF-only supplement; text names one 8-substitution final variant, not a library table.</t>
        </is>
      </c>
    </row>
    <row r="24">
      <c r="A24" s="11" t="n">
        <v>23</v>
      </c>
      <c r="B24" s="11" t="inlineStr">
        <is>
          <t>DyP peroxidase thermostability</t>
        </is>
      </c>
      <c r="C24" s="11" t="inlineStr">
        <is>
          <t>(not recorded)</t>
        </is>
      </c>
      <c r="D24" s="11" t="inlineStr">
        <is>
          <t>Fourth sweep (ACS)</t>
        </is>
      </c>
      <c r="E24" s="11" t="inlineStr">
        <is>
          <t>PDF-only supplement, a handful of designed variants.</t>
        </is>
      </c>
    </row>
    <row r="25">
      <c r="A25" s="11" t="n">
        <v>24</v>
      </c>
      <c r="B25" s="11" t="inlineStr">
        <is>
          <t>SPOT metallopeptide library</t>
        </is>
      </c>
      <c r="C25" s="11" t="inlineStr">
        <is>
          <t>(not recorded)</t>
        </is>
      </c>
      <c r="D25" s="11" t="inlineStr">
        <is>
          <t>Fourth sweep (ACS)</t>
        </is>
      </c>
      <c r="E25" s="11" t="inlineStr">
        <is>
          <t>PDF-only supplement, small named set.</t>
        </is>
      </c>
    </row>
    <row r="26">
      <c r="A26" s="11" t="n">
        <v>25</v>
      </c>
      <c r="B26" s="11" t="inlineStr">
        <is>
          <t>F. rodentium Cas9 (structural/cryo-EM)</t>
        </is>
      </c>
      <c r="C26" s="11" t="inlineStr">
        <is>
          <t>(not recorded)</t>
        </is>
      </c>
      <c r="D26" s="11" t="inlineStr">
        <is>
          <t>Sixth sweep (Cell Press)</t>
        </is>
      </c>
      <c r="E26" s="11" t="inlineStr">
        <is>
          <t>Not chased further -- likely a handful of validated point mutants, no data-availability statement found.</t>
        </is>
      </c>
    </row>
    <row r="27">
      <c r="A27" s="11" t="n">
        <v>26</v>
      </c>
      <c r="B27" s="11" t="inlineStr">
        <is>
          <t>ODM protein-design pipeline</t>
        </is>
      </c>
      <c r="C27" s="11" t="inlineStr">
        <is>
          <t>(not recorded)</t>
        </is>
      </c>
      <c r="D27" s="11" t="inlineStr">
        <is>
          <t>Sixth sweep (Cell Press)</t>
        </is>
      </c>
      <c r="E27" s="11" t="inlineStr">
        <is>
          <t>Not chased further -- generative-model paper, likely benchmarks on public data (Phase 1 evaluated-on exclusion).</t>
        </is>
      </c>
    </row>
    <row r="28">
      <c r="A28" s="11" t="n">
        <v>27</v>
      </c>
      <c r="B28" s="11" t="inlineStr">
        <is>
          <t>Chen 2025, Cas12a variant profiling</t>
        </is>
      </c>
      <c r="C28" s="11" t="inlineStr">
        <is>
          <t>10.1038/s41467-025-57150-9</t>
        </is>
      </c>
      <c r="D28" s="11" t="inlineStr">
        <is>
          <t>Rejected list (early sweeps)</t>
        </is>
      </c>
      <c r="E28" s="11" t="inlineStr">
        <is>
          <t>'Variants' are 24 orthologs, and activity varies per target sequence, not per protein substitution -- no single wild-type to normalise against.</t>
        </is>
      </c>
    </row>
    <row r="29">
      <c r="A29" s="11" t="n">
        <v>28</v>
      </c>
      <c r="B29" s="11" t="inlineStr">
        <is>
          <t>Zhu 2025, DropAI droplet screening</t>
        </is>
      </c>
      <c r="C29" s="11" t="inlineStr">
        <is>
          <t>10.1038/s41467-025-58139-0</t>
        </is>
      </c>
      <c r="D29" s="11" t="inlineStr">
        <is>
          <t>Rejected list (early sweeps)</t>
        </is>
      </c>
      <c r="E29" s="11" t="inlineStr">
        <is>
          <t>ML optimises the cell-free reaction composition, not protein sequence.</t>
        </is>
      </c>
    </row>
    <row r="30">
      <c r="A30" s="11" t="n">
        <v>29</v>
      </c>
      <c r="B30" s="11" t="inlineStr">
        <is>
          <t>m6A-IIN modification-site prediction</t>
        </is>
      </c>
      <c r="C30" s="11" t="inlineStr">
        <is>
          <t>10.1038/s42003-025-08265-8</t>
        </is>
      </c>
      <c r="D30" s="11" t="inlineStr">
        <is>
          <t>Rejected list (early sweeps)</t>
        </is>
      </c>
      <c r="E30" s="11" t="inlineStr">
        <is>
          <t>RNA modification sites, no protein variants.</t>
        </is>
      </c>
    </row>
    <row r="31">
      <c r="A31" s="11" t="n">
        <v>30</v>
      </c>
      <c r="B31" s="11" t="inlineStr">
        <is>
          <t>Nanozymes review</t>
        </is>
      </c>
      <c r="C31" s="11" t="inlineStr">
        <is>
          <t>10.1038/s41467-025-62063-8</t>
        </is>
      </c>
      <c r="D31" s="11" t="inlineStr">
        <is>
          <t>Rejected list (early sweeps)</t>
        </is>
      </c>
      <c r="E31" s="11" t="inlineStr">
        <is>
          <t>Review.</t>
        </is>
      </c>
    </row>
    <row r="32">
      <c r="A32" s="11" t="n">
        <v>31</v>
      </c>
      <c r="B32" s="11" t="inlineStr">
        <is>
          <t>CRISPR-Cas in agriculture</t>
        </is>
      </c>
      <c r="C32" s="11" t="inlineStr">
        <is>
          <t>10.1038/s41580-025-00834-3</t>
        </is>
      </c>
      <c r="D32" s="11" t="inlineStr">
        <is>
          <t>Rejected list (early sweeps)</t>
        </is>
      </c>
      <c r="E32" s="11" t="inlineStr">
        <is>
          <t>Review.</t>
        </is>
      </c>
    </row>
    <row r="33">
      <c r="A33" s="11" t="n">
        <v>32</v>
      </c>
      <c r="B33" s="11" t="inlineStr">
        <is>
          <t>CRISPR single-nucleotide diagnostics</t>
        </is>
      </c>
      <c r="C33" s="11" t="inlineStr">
        <is>
          <t>10.1038/s43856-025-00933-4</t>
        </is>
      </c>
      <c r="D33" s="11" t="inlineStr">
        <is>
          <t>Rejected list (early sweeps)</t>
        </is>
      </c>
      <c r="E33" s="11" t="inlineStr">
        <is>
          <t>Review.</t>
        </is>
      </c>
    </row>
    <row r="34">
      <c r="A34" s="11" t="n">
        <v>33</v>
      </c>
      <c r="B34" s="11" t="inlineStr">
        <is>
          <t>One-carbon biochemicals</t>
        </is>
      </c>
      <c r="C34" s="11" t="inlineStr">
        <is>
          <t>10.1038/s44160-025-00835-2</t>
        </is>
      </c>
      <c r="D34" s="11" t="inlineStr">
        <is>
          <t>Rejected list (early sweeps)</t>
        </is>
      </c>
      <c r="E34" s="11" t="inlineStr">
        <is>
          <t>Review.</t>
        </is>
      </c>
    </row>
    <row r="35">
      <c r="A35" s="11" t="n">
        <v>34</v>
      </c>
      <c r="B35" s="11" t="inlineStr">
        <is>
          <t>Antimicrobial peptides</t>
        </is>
      </c>
      <c r="C35" s="11" t="inlineStr">
        <is>
          <t>10.1038/s41579-025-01200-y</t>
        </is>
      </c>
      <c r="D35" s="11" t="inlineStr">
        <is>
          <t>Rejected list (early sweeps)</t>
        </is>
      </c>
      <c r="E35" s="11" t="inlineStr">
        <is>
          <t>Review.</t>
        </is>
      </c>
    </row>
    <row r="36">
      <c r="A36" s="11" t="n">
        <v>35</v>
      </c>
      <c r="B36" s="11" t="inlineStr">
        <is>
          <t>Protein folding and proteostasis</t>
        </is>
      </c>
      <c r="C36" s="11" t="inlineStr">
        <is>
          <t>10.1038/s41392-025-02439-w</t>
        </is>
      </c>
      <c r="D36" s="11" t="inlineStr">
        <is>
          <t>Rejected list (early sweeps)</t>
        </is>
      </c>
      <c r="E36" s="11" t="inlineStr">
        <is>
          <t>Review.</t>
        </is>
      </c>
    </row>
    <row r="37">
      <c r="A37" s="11" t="n">
        <v>36</v>
      </c>
      <c r="B37" s="11" t="inlineStr">
        <is>
          <t>Non-CG DNA methylation</t>
        </is>
      </c>
      <c r="C37" s="11" t="inlineStr">
        <is>
          <t>10.1038/s41588-025-02303-1</t>
        </is>
      </c>
      <c r="D37" s="11" t="inlineStr">
        <is>
          <t>Rejected list (early sweeps)</t>
        </is>
      </c>
      <c r="E37" s="11" t="inlineStr">
        <is>
          <t>Review.</t>
        </is>
      </c>
    </row>
    <row r="38">
      <c r="A38" s="11" t="n">
        <v>37</v>
      </c>
      <c r="B38" s="11" t="inlineStr">
        <is>
          <t>Antibacterial preclinical pipeline</t>
        </is>
      </c>
      <c r="C38" s="11" t="inlineStr">
        <is>
          <t>10.1038/s41579-025-01167-w</t>
        </is>
      </c>
      <c r="D38" s="11" t="inlineStr">
        <is>
          <t>Rejected list (early sweeps)</t>
        </is>
      </c>
      <c r="E38" s="11" t="inlineStr">
        <is>
          <t>Review.</t>
        </is>
      </c>
    </row>
    <row r="39">
      <c r="A39" s="11" t="n">
        <v>38</v>
      </c>
      <c r="B39" s="11" t="inlineStr">
        <is>
          <t>African bioeconomy genomics</t>
        </is>
      </c>
      <c r="C39" s="11" t="inlineStr">
        <is>
          <t>10.1038/s44185-025-00102-9</t>
        </is>
      </c>
      <c r="D39" s="11" t="inlineStr">
        <is>
          <t>Rejected list (early sweeps)</t>
        </is>
      </c>
      <c r="E39" s="11" t="inlineStr">
        <is>
          <t>Perspective.</t>
        </is>
      </c>
    </row>
    <row r="40">
      <c r="A40" s="11" t="n">
        <v>39</v>
      </c>
      <c r="B40" s="11" t="inlineStr">
        <is>
          <t>Seven technologies to watch in 2025</t>
        </is>
      </c>
      <c r="C40" s="11" t="inlineStr">
        <is>
          <t>10.1038/d41586-025-00075-6</t>
        </is>
      </c>
      <c r="D40" s="11" t="inlineStr">
        <is>
          <t>Rejected list (early sweeps)</t>
        </is>
      </c>
      <c r="E40" s="11" t="inlineStr">
        <is>
          <t>News feature.</t>
        </is>
      </c>
    </row>
    <row r="41">
      <c r="A41" s="11" t="n">
        <v>40</v>
      </c>
      <c r="B41" s="11" t="inlineStr">
        <is>
          <t>ESHG 2025 ePoster abstracts</t>
        </is>
      </c>
      <c r="C41" s="11" t="inlineStr">
        <is>
          <t>10.1038/s41431-025-01934-6</t>
        </is>
      </c>
      <c r="D41" s="11" t="inlineStr">
        <is>
          <t>Rejected list (early sweeps)</t>
        </is>
      </c>
      <c r="E41" s="11" t="inlineStr">
        <is>
          <t>Conference abstracts.</t>
        </is>
      </c>
    </row>
    <row r="42">
      <c r="A42" s="11" t="n">
        <v>41</v>
      </c>
      <c r="B42" s="11" t="inlineStr">
        <is>
          <t>Wong (chitosanase, signal peptide optimization)</t>
        </is>
      </c>
      <c r="C42" s="11" t="inlineStr">
        <is>
          <t>10.1021/acs.jafc.5c13730</t>
        </is>
      </c>
      <c r="D42" s="11" t="inlineStr">
        <is>
          <t>Directed-evolution sweep</t>
        </is>
      </c>
      <c r="E42" s="11" t="inlineStr">
        <is>
          <t>Iterative rounds to one named winner (M8); paywalled, not opened past the abstract.</t>
        </is>
      </c>
    </row>
    <row r="43">
      <c r="A43" s="11" t="n">
        <v>42</v>
      </c>
      <c r="B43" s="11" t="inlineStr">
        <is>
          <t>PROTEUS mammalian directed-evolution platform</t>
        </is>
      </c>
      <c r="C43" s="11" t="inlineStr">
        <is>
          <t>10.1038/s41467-025-59438-2</t>
        </is>
      </c>
      <c r="D43" s="11" t="inlineStr">
        <is>
          <t>Directed-evolution sweep</t>
        </is>
      </c>
      <c r="E43" s="11" t="inlineStr">
        <is>
          <t>Methods/tool paper; the 'N variants' figures are allele-frequency spectra from continuous passaging, not an isolated-clone table; the two characterized Nb139 mutations are far under floor.</t>
        </is>
      </c>
    </row>
    <row r="44">
      <c r="A44" s="11" t="n">
        <v>43</v>
      </c>
      <c r="B44" s="11" t="inlineStr">
        <is>
          <t>Golden Gate continuous-evolution toolkit</t>
        </is>
      </c>
      <c r="C44" s="11" t="inlineStr">
        <is>
          <t>10.1093/synbio/ysaf014</t>
        </is>
      </c>
      <c r="D44" s="11" t="inlineStr">
        <is>
          <t>Directed-evolution sweep</t>
        </is>
      </c>
      <c r="E44" s="11" t="inlineStr">
        <is>
          <t>Pure toolkit demonstration; no target-protein dataset, just proof the mutator works.</t>
        </is>
      </c>
    </row>
    <row r="45">
      <c r="A45" s="11" t="n">
        <v>44</v>
      </c>
      <c r="B45" s="11" t="inlineStr">
        <is>
          <t>Maize HPPD via TADR</t>
        </is>
      </c>
      <c r="C45" s="11" t="inlineStr">
        <is>
          <t>10.1111/pbi.70160</t>
        </is>
      </c>
      <c r="D45" s="11" t="inlineStr">
        <is>
          <t>Directed-evolution sweep</t>
        </is>
      </c>
      <c r="E45" s="11" t="inlineStr">
        <is>
          <t>3-page technical advance; 9 point mutants individually tested, qualitative colony-color readout for most.</t>
        </is>
      </c>
    </row>
    <row r="46">
      <c r="A46" s="11" t="n">
        <v>45</v>
      </c>
      <c r="B46" s="11" t="inlineStr">
        <is>
          <t>MerR Hg2+ biosensor</t>
        </is>
      </c>
      <c r="C46" s="11" t="inlineStr">
        <is>
          <t>10.1016/j.bios.2025.117687</t>
        </is>
      </c>
      <c r="D46" s="11" t="inlineStr">
        <is>
          <t>Directed-evolution sweep</t>
        </is>
      </c>
      <c r="E46" s="11" t="inlineStr">
        <is>
          <t>Selection funnel (98% eliminated, then top 0.2%) ending in one named variant (V124E); not open access.</t>
        </is>
      </c>
    </row>
    <row r="47">
      <c r="A47" s="11" t="n">
        <v>46</v>
      </c>
      <c r="B47" s="11" t="inlineStr">
        <is>
          <t>Oncolytic Sindbis virus (osteosarcoma)</t>
        </is>
      </c>
      <c r="C47" s="11" t="inlineStr">
        <is>
          <t>10.1016/j.omton.2025.201096</t>
        </is>
      </c>
      <c r="D47" s="11" t="inlineStr">
        <is>
          <t>Directed-evolution sweep</t>
        </is>
      </c>
      <c r="E47" s="11" t="inlineStr">
        <is>
          <t>Adaptive passaging to a consensus lineage, not a mapped substitution landscape; 'variant' appears 6 times in the whole paper.</t>
        </is>
      </c>
    </row>
    <row r="48">
      <c r="A48" s="11" t="n">
        <v>47</v>
      </c>
      <c r="B48" s="11" t="inlineStr">
        <is>
          <t>Rubisco laboratory-evolution screen (Nat Plants)</t>
        </is>
      </c>
      <c r="C48" s="11" t="inlineStr">
        <is>
          <t>10.1038/s41477-025-02093-8</t>
        </is>
      </c>
      <c r="D48" s="11" t="inlineStr">
        <is>
          <t>Directed-evolution sweep</t>
        </is>
      </c>
      <c r="E48" s="11" t="inlineStr">
        <is>
          <t>Screen narrows to exactly two named point mutations (M116L, A242V), deeply characterized but not a library table.</t>
        </is>
      </c>
    </row>
    <row r="49">
      <c r="A49" s="11" t="n">
        <v>48</v>
      </c>
      <c r="B49" s="11" t="inlineStr">
        <is>
          <t>Nonheme iron BsQueD (alkene amination)</t>
        </is>
      </c>
      <c r="C49" s="11" t="inlineStr">
        <is>
          <t>10.1021/jacsau.5c00817</t>
        </is>
      </c>
      <c r="D49" s="11" t="inlineStr">
        <is>
          <t>Directed-evolution sweep</t>
        </is>
      </c>
      <c r="E49" s="11" t="inlineStr">
        <is>
          <t>'An optimized variant' -- lineage evolution to one champion.</t>
        </is>
      </c>
    </row>
    <row r="50">
      <c r="A50" s="11" t="n">
        <v>49</v>
      </c>
      <c r="B50" s="11" t="inlineStr">
        <is>
          <t>PchB to chorismate mutase (reverse evolution)</t>
        </is>
      </c>
      <c r="C50" s="11" t="inlineStr">
        <is>
          <t>10.1021/acs.biochem.5c00157</t>
        </is>
      </c>
      <c r="D50" s="11" t="inlineStr">
        <is>
          <t>Directed-evolution sweep</t>
        </is>
      </c>
      <c r="E50" s="11" t="inlineStr">
        <is>
          <t>Functional-complementation selection from a 7-position, 38,000-variant library down to a handful of named sequenced clones; no per-variant table, just individually characterized survivors.</t>
        </is>
      </c>
    </row>
    <row r="51">
      <c r="A51" s="11" t="n">
        <v>50</v>
      </c>
      <c r="B51" s="11" t="inlineStr">
        <is>
          <t>PHL7 PET hydrolase (4 rounds)</t>
        </is>
      </c>
      <c r="C51" s="11" t="inlineStr">
        <is>
          <t>10.1016/j.checat.2025.101399</t>
        </is>
      </c>
      <c r="D51" s="11" t="inlineStr">
        <is>
          <t>Directed-evolution sweep</t>
        </is>
      </c>
      <c r="E51" s="11" t="inlineStr">
        <is>
          <t>Four named final variants (Jemez, Santa Fe, Taos, Tusas); no deposited dataset, 'available upon reasonable request'.</t>
        </is>
      </c>
    </row>
    <row r="52">
      <c r="A52" s="11" t="n">
        <v>51</v>
      </c>
      <c r="B52" s="11" t="inlineStr">
        <is>
          <t>Q-body immunosensor quenching prediction</t>
        </is>
      </c>
      <c r="C52" s="11" t="inlineStr">
        <is>
          <t>10.1021/jacsau.4c01189</t>
        </is>
      </c>
      <c r="D52" s="11" t="inlineStr">
        <is>
          <t>Directed-evolution sweep</t>
        </is>
      </c>
      <c r="E52" s="11" t="inlineStr">
        <is>
          <t>The large NGS-scored library is a synthetic nanobody repertoire, not point mutants of one wild type; validated point-mutant sets (Trp scans) are single digits per antibody.</t>
        </is>
      </c>
    </row>
    <row r="53">
      <c r="A53" s="11" t="n">
        <v>52</v>
      </c>
      <c r="B53" s="11" t="inlineStr">
        <is>
          <t>Curr Protoc SELIS walkthrough</t>
        </is>
      </c>
      <c r="C53" s="11" t="inlineStr">
        <is>
          <t>10.1002/cpz1.70218</t>
        </is>
      </c>
      <c r="D53" s="11" t="inlineStr">
        <is>
          <t>Directed-evolution sweep</t>
        </is>
      </c>
      <c r="E53" s="11" t="inlineStr">
        <is>
          <t>Protocol demonstration, not a dataset paper.</t>
        </is>
      </c>
    </row>
    <row r="54">
      <c r="A54" s="11" t="n">
        <v>53</v>
      </c>
      <c r="B54" s="11" t="inlineStr">
        <is>
          <t>Ebola VP40 patient mutations</t>
        </is>
      </c>
      <c r="C54" s="11" t="inlineStr">
        <is>
          <t>10.1016/j.jbc.2025.110489</t>
        </is>
      </c>
      <c r="D54" s="11" t="inlineStr">
        <is>
          <t>Directed-evolution sweep</t>
        </is>
      </c>
      <c r="E54" s="11" t="inlineStr">
        <is>
          <t>'40 mutations' is epidemiological surveillance across outbreak lineages, not an experimental library; only 2 mutations (R204H, H269R) are lab-characterized.</t>
        </is>
      </c>
    </row>
    <row r="55">
      <c r="A55" s="11" t="n">
        <v>54</v>
      </c>
      <c r="B55" s="11" t="inlineStr">
        <is>
          <t>Cyanobacterial screening platform for Rubisco mutant variants</t>
        </is>
      </c>
      <c r="C55" s="11" t="inlineStr">
        <is>
          <t>10.1021/acssynbio.5c00065</t>
        </is>
      </c>
      <c r="D55" s="11" t="inlineStr">
        <is>
          <t>Seventh sweep (ACS, redone)</t>
        </is>
      </c>
      <c r="E55" s="11" t="inlineStr">
        <is>
          <t>16 variants, under the floor -- the authors' own GitHub repository is named CbbM_16variants. Deep-sequenced competitive growth, so the shape is right and only the size is wrong.</t>
        </is>
      </c>
    </row>
    <row r="56">
      <c r="A56" s="11" t="n">
        <v>55</v>
      </c>
      <c r="B56" s="11" t="inlineStr">
        <is>
          <t>Ultrahigh-throughput multiplexed screening from cell-free expression</t>
        </is>
      </c>
      <c r="C56" s="11" t="inlineStr">
        <is>
          <t>10.1021/jacs.5c04962</t>
        </is>
      </c>
      <c r="D56" s="11" t="inlineStr">
        <is>
          <t>Seventh sweep (ACS, redone)</t>
        </is>
      </c>
      <c r="E56" s="11" t="inlineStr">
        <is>
          <t>Not open access, no PMC record; a droplet-microfluidics methods paper rather than a variant dataset.</t>
        </is>
      </c>
    </row>
    <row r="57">
      <c r="A57" s="11" t="n">
        <v>56</v>
      </c>
      <c r="B57" s="11" t="inlineStr">
        <is>
          <t>Directed evolution of a genetically encoded chloride indicator</t>
        </is>
      </c>
      <c r="C57" s="11" t="inlineStr">
        <is>
          <t>10.1021/acssynbio.4c00818</t>
        </is>
      </c>
      <c r="D57" s="11" t="inlineStr">
        <is>
          <t>Seventh sweep (ACS, redone)</t>
        </is>
      </c>
      <c r="E57" s="11" t="inlineStr">
        <is>
          <t>fullTextXML empty; abstract describes a lineage to a named improved indicator.</t>
        </is>
      </c>
    </row>
    <row r="58">
      <c r="A58" s="11" t="n">
        <v>57</v>
      </c>
      <c r="B58" s="11" t="inlineStr">
        <is>
          <t>Stereoselective photoenzymatic hydroarylation</t>
        </is>
      </c>
      <c r="C58" s="11" t="inlineStr">
        <is>
          <t>10.1021/jacs.5c12440</t>
        </is>
      </c>
      <c r="D58" s="11" t="inlineStr">
        <is>
          <t>Seventh sweep (ACS, redone)</t>
        </is>
      </c>
      <c r="E58" s="11" t="inlineStr">
        <is>
          <t>fullTextXML empty; biocatalysis paper evolving to a named champion variant.</t>
        </is>
      </c>
    </row>
    <row r="59">
      <c r="A59" s="11" t="n">
        <v>58</v>
      </c>
      <c r="B59" s="11" t="inlineStr">
        <is>
          <t>Affibody stability (DR5 / TNFR1)</t>
        </is>
      </c>
      <c r="C59" s="11" t="inlineStr">
        <is>
          <t>10.1002/bit.28954</t>
        </is>
      </c>
      <c r="D59" s="11" t="inlineStr">
        <is>
          <t>Directed-evolution sweep</t>
        </is>
      </c>
      <c r="E59" s="11" t="inlineStr">
        <is>
          <t>Deep sequencing used only to triage candidates for individual validation; reported data is a handful of purified variants, not library-wide.</t>
        </is>
      </c>
    </row>
    <row r="60">
      <c r="A60" s="11" t="inlineStr">
        <is>
          <t>59</t>
        </is>
      </c>
      <c r="B60" s="11" t="inlineStr">
        <is>
          <t>Urease functional and catalytic landscape (H. pylori UreB)</t>
        </is>
      </c>
      <c r="C60" s="11" t="inlineStr">
        <is>
          <t>10.1080/19490976.2026.2653575</t>
        </is>
      </c>
      <c r="D60" s="11" t="inlineStr">
        <is>
          <t>Eighth sweep (2026)</t>
        </is>
      </c>
      <c r="E60" s="11" t="inlineStr">
        <is>
          <t>58 alanine-scan point mutants clears the 20-variant floor, but the readouts are a spread of expression, growth, colonization and inhibitor-binding assays rather than one quantity measured across the panel, and the paper carries no data-availability statement at all. The separate 37-site phage-display library is not reported per variant.</t>
        </is>
      </c>
    </row>
    <row r="61">
      <c r="A61" s="11" t="inlineStr">
        <is>
          <t>60</t>
        </is>
      </c>
      <c r="B61" s="11" t="inlineStr">
        <is>
          <t>Evolutionary-scale enzymology of adenylate kinase</t>
        </is>
      </c>
      <c r="C61" s="11" t="inlineStr">
        <is>
          <t>10.1126/science.adu1058</t>
        </is>
      </c>
      <c r="D61" s="11" t="inlineStr">
        <is>
          <t>Tenth sweep (enzyme, never-swept journals)</t>
        </is>
      </c>
      <c r="E61" s="11" t="inlineStr">
        <is>
          <t>Homolog panel. kcat/KM measured by microfluidics for hundreds of ADK variants and all kinetics deposited at Zenodo 10.5281/zenodo.15022270, but the library is 193 orthologs of 42% mean pairwise identity; the only true mutants are LID-swap chimeras and a short cysteine series. No shared wild type, so no mutant column. Recorded because the abstract reads like the best enzyme dataset of the year.</t>
        </is>
      </c>
    </row>
    <row r="62">
      <c r="A62" s="11" t="inlineStr">
        <is>
          <t>61</t>
        </is>
      </c>
      <c r="B62" s="11" t="inlineStr">
        <is>
          <t>High-throughput mutational analysis of F1-ATPase</t>
        </is>
      </c>
      <c r="C62" s="11" t="inlineStr">
        <is>
          <t>10.1002/pro.70699</t>
        </is>
      </c>
      <c r="D62" s="11" t="inlineStr">
        <is>
          <t>Tenth sweep (enzyme, never-swept journals)</t>
        </is>
      </c>
      <c r="E62" s="11" t="inlineStr">
        <is>
          <t>Data availability is 'available from the corresponding author upon reasonable request', and the saturation covers only two residues (betaE190, betaY307).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26" customWidth="1" min="3" max="3"/>
    <col width="10" customWidth="1" min="4" max="4"/>
    <col width="42" customWidth="1" min="5" max="5"/>
    <col width="52" customWidth="1" min="6" max="6"/>
    <col width="20" customWidth="1" min="7" max="7"/>
    <col width="72" customWidth="1" min="8" max="8"/>
  </cols>
  <sheetData>
    <row r="1">
      <c r="A1" s="3" t="inlineStr">
        <is>
          <t>#</t>
        </is>
      </c>
      <c r="B1" s="3" t="inlineStr">
        <is>
          <t>Paper</t>
        </is>
      </c>
      <c r="C1" s="3" t="inlineStr">
        <is>
          <t>DOI</t>
        </is>
      </c>
      <c r="D1" s="3" t="inlineStr">
        <is>
          <t>Datasets shipped</t>
        </is>
      </c>
      <c r="E1" s="3" t="inlineStr">
        <is>
          <t>Item excluded</t>
        </is>
      </c>
      <c r="F1" s="3" t="inlineStr">
        <is>
          <t>Reason recorded in remark</t>
        </is>
      </c>
      <c r="G1" s="3" t="inlineStr">
        <is>
          <t>Audit verdict (2026-08-27)</t>
        </is>
      </c>
      <c r="H1" s="3" t="inlineStr">
        <is>
          <t>Follow-up</t>
        </is>
      </c>
    </row>
    <row r="2">
      <c r="A2" s="13" t="n">
        <v>1</v>
      </c>
      <c r="B2" s="13" t="inlineStr">
        <is>
          <t>Zhang 2025 (IFRS, PylRS)</t>
        </is>
      </c>
      <c r="C2" s="13" t="inlineStr">
        <is>
          <t>10.1038/s41467-025-61952-2</t>
        </is>
      </c>
      <c r="D2" s="13" t="n">
        <v>1</v>
      </c>
      <c r="E2" s="13" t="inlineStr">
        <is>
          <t>Catalytic efficiency kcat/Km(tRNA)</t>
        </is>
      </c>
      <c r="F2" s="13" t="inlineStr">
        <is>
          <t>Reported for too few variants</t>
        </is>
      </c>
      <c r="G2" s="13" t="inlineStr">
        <is>
          <t>Not re-verified</t>
        </is>
      </c>
      <c r="H2" s="13" t="inlineStr">
        <is>
          <t>Fig. 4b/4d/4f source sheets hold 5-15 rows each, consistent with the claim; not counted variant by variant.</t>
        </is>
      </c>
    </row>
    <row r="3">
      <c r="A3" s="14" t="n">
        <v>2</v>
      </c>
      <c r="B3" s="14" t="inlineStr">
        <is>
          <t>Zhang 2025 (IFRS, PylRS)</t>
        </is>
      </c>
      <c r="C3" s="14" t="inlineStr">
        <is>
          <t>10.1038/s41467-025-61952-2</t>
        </is>
      </c>
      <c r="D3" s="14" t="n">
        <v>1</v>
      </c>
      <c r="E3" s="14" t="inlineStr">
        <is>
          <t>ncAA panel of Fig. 3</t>
        </is>
      </c>
      <c r="F3" s="14" t="inlineStr">
        <is>
          <t>Measures separate parent synthetases rather than one wild type</t>
        </is>
      </c>
      <c r="G3" s="14" t="inlineStr">
        <is>
          <t>Sound</t>
        </is>
      </c>
      <c r="H3" s="14" t="inlineStr"/>
    </row>
    <row r="4">
      <c r="A4" s="14" t="n">
        <v>3</v>
      </c>
      <c r="B4" s="14" t="inlineStr">
        <is>
          <t>Zhang 2025 (IFRS, PylRS)</t>
        </is>
      </c>
      <c r="C4" s="14" t="inlineStr">
        <is>
          <t>10.1038/s41467-025-61952-2</t>
        </is>
      </c>
      <c r="D4" s="14" t="n">
        <v>1</v>
      </c>
      <c r="E4" s="14" t="inlineStr">
        <is>
          <t>Myoglobin and multiple-amber constructs of Fig. 4</t>
        </is>
      </c>
      <c r="F4" s="14" t="inlineStr">
        <is>
          <t>Two or three variants each, under the 20-variant floor</t>
        </is>
      </c>
      <c r="G4" s="14" t="inlineStr">
        <is>
          <t>Sound</t>
        </is>
      </c>
      <c r="H4" s="14" t="inlineStr"/>
    </row>
    <row r="5">
      <c r="A5" s="14" t="n">
        <v>4</v>
      </c>
      <c r="B5" s="14" t="inlineStr">
        <is>
          <t>Huber 2025 (TEV protease)</t>
        </is>
      </c>
      <c r="C5" s="14" t="inlineStr">
        <is>
          <t>10.1038/s41467-025-60622-7</t>
        </is>
      </c>
      <c r="D5" s="14" t="n">
        <v>21</v>
      </c>
      <c r="E5" s="14" t="inlineStr">
        <is>
          <t>TEVs substrate landscapes</t>
        </is>
      </c>
      <c r="F5" s="14" t="inlineStr">
        <is>
          <t>The varying sequence is the seven-residue substrate motif, not the protease</t>
        </is>
      </c>
      <c r="G5" s="14" t="inlineStr">
        <is>
          <t>Sound</t>
        </is>
      </c>
      <c r="H5" s="14" t="inlineStr"/>
    </row>
    <row r="6">
      <c r="A6" s="14" t="n">
        <v>5</v>
      </c>
      <c r="B6" s="14" t="inlineStr">
        <is>
          <t>Huber 2025 (TEV protease)</t>
        </is>
      </c>
      <c r="C6" s="14" t="inlineStr">
        <is>
          <t>10.1038/s41467-025-60622-7</t>
        </is>
      </c>
      <c r="D6" s="14" t="n">
        <v>21</v>
      </c>
      <c r="E6" s="14" t="inlineStr">
        <is>
          <t>Panels of Fig. 1e, 3b, 4d, 4e</t>
        </is>
      </c>
      <c r="F6" s="14" t="inlineStr">
        <is>
          <t>Each covers fewer than twenty distinct protease genotypes</t>
        </is>
      </c>
      <c r="G6" s="14" t="inlineStr">
        <is>
          <t>Sound</t>
        </is>
      </c>
      <c r="H6" s="14" t="inlineStr">
        <is>
          <t>Confirmed: 6, 12, 5 and 5 distinct protease genotypes; the row counts are protease x substrate combinations.</t>
        </is>
      </c>
    </row>
    <row r="7">
      <c r="A7" s="15" t="n">
        <v>6</v>
      </c>
      <c r="B7" s="15" t="inlineStr">
        <is>
          <t>Huber 2025 (TEV protease)</t>
        </is>
      </c>
      <c r="C7" s="15" t="inlineStr">
        <is>
          <t>10.1038/s41467-025-60622-7</t>
        </is>
      </c>
      <c r="D7" s="15" t="n">
        <v>21</v>
      </c>
      <c r="E7" s="15" t="inlineStr">
        <is>
          <t>Panel of Fig. 3a</t>
        </is>
      </c>
      <c r="F7" s="15" t="inlineStr">
        <is>
          <t>Grouped with the above as fewer than twenty distinct protease genotypes</t>
        </is>
      </c>
      <c r="G7" s="15" t="inlineStr">
        <is>
          <t>Imprecise</t>
        </is>
      </c>
      <c r="H7" s="15" t="inlineStr">
        <is>
          <t>Fig. 3a is 2 positions x 20 amino acids = 40 distinct genotypes, above the floor. Almost certainly redundant with the shipped library (positions 171 and 176); worth one check before acting.</t>
        </is>
      </c>
    </row>
    <row r="8">
      <c r="A8" s="14" t="n">
        <v>7</v>
      </c>
      <c r="B8" s="14" t="inlineStr">
        <is>
          <t>Duan 2025 (RNA Pol II)</t>
        </is>
      </c>
      <c r="C8" s="14" t="inlineStr">
        <is>
          <t>10.1038/s41467-025-63304-6</t>
        </is>
      </c>
      <c r="D8" s="14" t="n">
        <v>9</v>
      </c>
      <c r="E8" s="14" t="inlineStr">
        <is>
          <t>(none recorded)</t>
        </is>
      </c>
      <c r="F8" s="14" t="inlineStr"/>
      <c r="G8" s="14" t="inlineStr">
        <is>
          <t>Sound</t>
        </is>
      </c>
      <c r="H8" s="14" t="inlineStr"/>
    </row>
    <row r="9">
      <c r="A9" s="16" t="n">
        <v>8</v>
      </c>
      <c r="B9" s="16" t="inlineStr">
        <is>
          <t>Landwehr 2025 (McbA)</t>
        </is>
      </c>
      <c r="C9" s="16" t="inlineStr">
        <is>
          <t>10.1038/s41467-024-55399-0</t>
        </is>
      </c>
      <c r="D9" s="16" t="n">
        <v>9</v>
      </c>
      <c r="E9" s="16" t="inlineStr">
        <is>
          <t>Four-site combinatorial training and test libraries on GitHub</t>
        </is>
      </c>
      <c r="F9" s="16" t="inlineStr">
        <is>
          <t>Measure a different library on the same enzyme</t>
        </is>
      </c>
      <c r="G9" s="16" t="inlineStr">
        <is>
          <t>SUPERSEDED 2026-09-05. The audit called this 'not a rejection reason' from the file listing alone. Opened: the nine *_train.xlsx files are 4-site single-mutant exports (4 x 19 + parent) whose sites all fall inside the shipped 64-residue screen and whose values match it 19/19 exactly -- ML training exports of data already curated, not a separate library. Only the two *_test.xlsx files hold new genotypes.</t>
        </is>
      </c>
      <c r="H9" s="16" t="inlineStr">
        <is>
          <t>The new genotypes are 243 moclobemide and 169 metoclopramide multi-site variants, but the GitHub scale is unrecoverable (shipped/github ratio 1.2-15.8). Use Source Data 'Fig 4a' (moclobemide, 243 distinct) and 'Fig4b' (metoclopramide, 243, a superset), whose 'Actual' column is min-max normalized to the best variant = 1 -- a different denominator from the shipped fold-vs-WT, so two new datasets, not extra rows. SHIPPED 2026-09-05 as two datasets, 243 variants each, under Activity/CatalyticActivity/DMS/. The nine *_train.xlsx files remain not curatable.</t>
        </is>
      </c>
    </row>
    <row r="10">
      <c r="A10" s="14" t="n">
        <v>9</v>
      </c>
      <c r="B10" s="14" t="inlineStr">
        <is>
          <t>Landwehr 2025 (McbA)</t>
        </is>
      </c>
      <c r="C10" s="14" t="inlineStr">
        <is>
          <t>10.1038/s41467-024-55399-0</t>
        </is>
      </c>
      <c r="D10" s="14" t="n">
        <v>9</v>
      </c>
      <c r="E10" s="14" t="inlineStr">
        <is>
          <t>Zero-shot prediction tables</t>
        </is>
      </c>
      <c r="F10" s="14" t="inlineStr">
        <is>
          <t>Computed rather than assayed</t>
        </is>
      </c>
      <c r="G10" s="14" t="inlineStr">
        <is>
          <t>Sound</t>
        </is>
      </c>
      <c r="H10" s="14" t="inlineStr"/>
    </row>
    <row r="11">
      <c r="A11" s="14" t="n">
        <v>10</v>
      </c>
      <c r="B11" s="14" t="inlineStr">
        <is>
          <t>Landwehr 2025 (McbA)</t>
        </is>
      </c>
      <c r="C11" s="14" t="inlineStr">
        <is>
          <t>10.1038/s41467-024-55399-0</t>
        </is>
      </c>
      <c r="D11" s="14" t="n">
        <v>9</v>
      </c>
      <c r="E11" s="14" t="inlineStr">
        <is>
          <t>Fig. 2b substrate scope</t>
        </is>
      </c>
      <c r="F11" s="14" t="inlineStr">
        <is>
          <t>Varies the reaction rather than the protein</t>
        </is>
      </c>
      <c r="G11" s="14" t="inlineStr">
        <is>
          <t>Sound</t>
        </is>
      </c>
      <c r="H11" s="14" t="inlineStr"/>
    </row>
    <row r="12">
      <c r="A12" s="14" t="n">
        <v>11</v>
      </c>
      <c r="B12" s="14" t="inlineStr">
        <is>
          <t>Yang 2025 (ALDE, ParLQ)</t>
        </is>
      </c>
      <c r="C12" s="14" t="inlineStr">
        <is>
          <t>10.1038/s41467-025-55987-8</t>
        </is>
      </c>
      <c r="D12" s="14" t="n">
        <v>2</v>
      </c>
      <c r="E12" s="14" t="inlineStr">
        <is>
          <t>trans-2a yield on its own</t>
        </is>
      </c>
      <c r="F12" s="14" t="inlineStr">
        <is>
          <t>No higher-is-better orientation; the paper treats more trans product as worse</t>
        </is>
      </c>
      <c r="G12" s="14" t="inlineStr">
        <is>
          <t>Sound</t>
        </is>
      </c>
      <c r="H12" s="14" t="inlineStr"/>
    </row>
    <row r="13">
      <c r="A13" s="14" t="n">
        <v>12</v>
      </c>
      <c r="B13" s="14" t="inlineStr">
        <is>
          <t>Yang 2025 (ALDE, ParLQ)</t>
        </is>
      </c>
      <c r="C13" s="14" t="inlineStr">
        <is>
          <t>10.1038/s41467-025-55987-8</t>
        </is>
      </c>
      <c r="D13" s="14" t="n">
        <v>2</v>
      </c>
      <c r="E13" s="14" t="inlineStr">
        <is>
          <t>Plate-normalized ALDE objective</t>
        </is>
      </c>
      <c r="F13" s="14" t="inlineStr">
        <is>
          <t>A restatement of the same pair of yields</t>
        </is>
      </c>
      <c r="G13" s="14" t="inlineStr">
        <is>
          <t>Sound</t>
        </is>
      </c>
      <c r="H13" s="14" t="inlineStr"/>
    </row>
    <row r="14">
      <c r="A14" s="14" t="n">
        <v>13</v>
      </c>
      <c r="B14" s="14" t="inlineStr">
        <is>
          <t>Yang 2025 (ALDE, ParLQ)</t>
        </is>
      </c>
      <c r="C14" s="14" t="inlineStr">
        <is>
          <t>10.1038/s41467-025-55987-8</t>
        </is>
      </c>
      <c r="D14" s="14" t="n">
        <v>2</v>
      </c>
      <c r="E14" s="14" t="inlineStr">
        <is>
          <t>Public benchmark landscapes used for simulation</t>
        </is>
      </c>
      <c r="F14" s="14" t="inlineStr">
        <is>
          <t>Belong to the publications that measured them</t>
        </is>
      </c>
      <c r="G14" s="14" t="inlineStr">
        <is>
          <t>Sound</t>
        </is>
      </c>
      <c r="H14" s="14" t="inlineStr"/>
    </row>
    <row r="15">
      <c r="A15" s="16" t="n">
        <v>14</v>
      </c>
      <c r="B15" s="16" t="inlineStr">
        <is>
          <t>Singh 2025 (AtHMT / YmPhytase)</t>
        </is>
      </c>
      <c r="C15" s="16" t="inlineStr">
        <is>
          <t>10.1038/s41467-025-61209-y</t>
        </is>
      </c>
      <c r="D15" s="16" t="n">
        <v>2</v>
      </c>
      <c r="E15" s="16" t="inlineStr">
        <is>
          <t>The whole YmPhytase campaign</t>
        </is>
      </c>
      <c r="F15" s="16" t="inlineStr">
        <is>
          <t>No sequence is given in the paper and no reference accession could be found, so its 180 round-one mutants cannot be placed on any sequence</t>
        </is>
      </c>
      <c r="G15" s="16" t="inlineStr">
        <is>
          <t>Wrong</t>
        </is>
      </c>
      <c r="H15" s="16" t="inlineStr">
        <is>
          <t>FIXED 2026-08-27. Supplementary Data 5 is titled "The DNA sequences for wild-type AtHMT and YmPhytase" in the Description of Additional Supplementary Files, and the Fig. 3 caption repeats the pointer. Its plasmid map gives a 434-aa ORF against which all 180 mutation labels verify at offset 0. Shipped as Singh 2025-ML-YmPhytase-catalyticactivity-relative_activity.csv, 181 variants.</t>
        </is>
      </c>
    </row>
    <row r="16">
      <c r="A16" s="16" t="n">
        <v>15</v>
      </c>
      <c r="B16" s="16" t="inlineStr">
        <is>
          <t>Singh 2025 (AtHMT / YmPhytase)</t>
        </is>
      </c>
      <c r="C16" s="16" t="inlineStr">
        <is>
          <t>10.1038/s41467-025-61209-y</t>
        </is>
      </c>
      <c r="D16" s="16" t="n">
        <v>2</v>
      </c>
      <c r="E16" s="16" t="inlineStr">
        <is>
          <t>Rounds 2 to 4, both enzymes</t>
        </is>
      </c>
      <c r="F16" s="16" t="inlineStr">
        <is>
          <t>Built on several different improved parents per round with no per-well template assignment shipped, so a full genotype cannot be reconstructed</t>
        </is>
      </c>
      <c r="G16" s="16" t="inlineStr">
        <is>
          <t>Wrong</t>
        </is>
      </c>
      <c r="H16" s="16" t="inlineStr">
        <is>
          <t>FIXED 2026-08-27. The Mutations column of every round-2/3/4 sheet writes the full genotype ("V141M / K226G / I15V / Q295D"), so no template assignment is needed. Both datasets now pool all four rounds: AtHMT 176 -&gt; 482 variants, YmPhytase 181 -&gt; 449. The 482 reconciles exactly with the paper own Overview sheet total of 482 new mutants, and 449 is the stated 448 plus the T44V/K45E benchmark.</t>
        </is>
      </c>
    </row>
    <row r="17">
      <c r="A17" s="14" t="n">
        <v>16</v>
      </c>
      <c r="B17" s="14" t="inlineStr">
        <is>
          <t>Zhang 2025 (PLMeAE, pCNF-RS)</t>
        </is>
      </c>
      <c r="C17" s="14" t="inlineStr">
        <is>
          <t>10.1038/s41467-025-56751-8</t>
        </is>
      </c>
      <c r="D17" s="14" t="n">
        <v>1</v>
      </c>
      <c r="E17" s="14" t="inlineStr">
        <is>
          <t>UBC9 and ubiquitin benchmark landscapes</t>
        </is>
      </c>
      <c r="F17" s="14" t="inlineStr">
        <is>
          <t>Measured by other publications and belong to them</t>
        </is>
      </c>
      <c r="G17" s="14" t="inlineStr">
        <is>
          <t>Sound</t>
        </is>
      </c>
      <c r="H17" s="14" t="inlineStr"/>
    </row>
    <row r="18">
      <c r="A18" s="14" t="n">
        <v>17</v>
      </c>
      <c r="B18" s="14" t="inlineStr">
        <is>
          <t>Silverstein 2025 (PAMmla, SpCas9)</t>
        </is>
      </c>
      <c r="C18" s="14" t="inlineStr">
        <is>
          <t>10.1038/s41586-025-09021-y</t>
        </is>
      </c>
      <c r="D18" s="14" t="n">
        <v>64</v>
      </c>
      <c r="E18" s="14" t="inlineStr">
        <is>
          <t>PAMmla predictions and the 64 million predicted profiles</t>
        </is>
      </c>
      <c r="F18" s="14" t="inlineStr">
        <is>
          <t>Computed rather than assayed</t>
        </is>
      </c>
      <c r="G18" s="14" t="inlineStr">
        <is>
          <t>Sound</t>
        </is>
      </c>
      <c r="H18" s="14" t="inlineStr"/>
    </row>
    <row r="19">
      <c r="A19" s="14" t="n">
        <v>18</v>
      </c>
      <c r="B19" s="14" t="inlineStr">
        <is>
          <t>Silverstein 2025 (PAMmla, SpCas9)</t>
        </is>
      </c>
      <c r="C19" s="14" t="inlineStr">
        <is>
          <t>10.1038/s41586-025-09021-y</t>
        </is>
      </c>
      <c r="D19" s="14" t="n">
        <v>64</v>
      </c>
      <c r="E19" s="14" t="inlineStr">
        <is>
          <t>GUIDE-seq2 results of Supplementary Table 6</t>
        </is>
      </c>
      <c r="F19" s="14" t="inlineStr">
        <is>
          <t>Measure off-target editing at genomic sites, not a fitness per enzyme variant</t>
        </is>
      </c>
      <c r="G19" s="14" t="inlineStr">
        <is>
          <t>Sound</t>
        </is>
      </c>
      <c r="H19" s="14" t="inlineStr"/>
    </row>
    <row r="20">
      <c r="A20" s="14" t="n">
        <v>19</v>
      </c>
      <c r="B20" s="14" t="inlineStr">
        <is>
          <t>Alamos 2025 (CONSTANS)</t>
        </is>
      </c>
      <c r="C20" s="14" t="inlineStr">
        <is>
          <t>10.1038/s41587-025-02880-w</t>
        </is>
      </c>
      <c r="D20" s="14" t="n">
        <v>1</v>
      </c>
      <c r="E20" s="14" t="inlineStr">
        <is>
          <t>The 3,644 viral and 218 Arabidopsis tiles of Tables S1 and S2</t>
        </is>
      </c>
      <c r="F20" s="14" t="inlineStr">
        <is>
          <t>Fragments of thousands of unrelated proteins rather than variants of one wild type</t>
        </is>
      </c>
      <c r="G20" s="14" t="inlineStr">
        <is>
          <t>Sound</t>
        </is>
      </c>
      <c r="H20" s="14" t="inlineStr"/>
    </row>
    <row r="21">
      <c r="A21" s="14" t="n">
        <v>20</v>
      </c>
      <c r="B21" s="14" t="inlineStr">
        <is>
          <t>Jiang 2024 (PRIME)</t>
        </is>
      </c>
      <c r="C21" s="14" t="inlineStr">
        <is>
          <t>10.1126/sciadv.adr2641</t>
        </is>
      </c>
      <c r="D21" s="14" t="n">
        <v>6</v>
      </c>
      <c r="E21" s="14" t="inlineStr">
        <is>
          <t>(none recorded)</t>
        </is>
      </c>
      <c r="F21" s="14" t="inlineStr"/>
      <c r="G21" s="14" t="inlineStr">
        <is>
          <t>Sound</t>
        </is>
      </c>
      <c r="H21" s="14" t="inlineStr"/>
    </row>
    <row r="22">
      <c r="A22" s="16" t="n">
        <v>21</v>
      </c>
      <c r="B22" s="16" t="inlineStr">
        <is>
          <t>Estevam 2025 (MET kinase)</t>
        </is>
      </c>
      <c r="C22" s="16" t="inlineStr">
        <is>
          <t>10.7554/eLife.101882</t>
        </is>
      </c>
      <c r="D22" s="16" t="n">
        <v>12</v>
      </c>
      <c r="E22" s="16" t="inlineStr">
        <is>
          <t>The exon-14-deleted MET background</t>
        </is>
      </c>
      <c r="F22" s="16" t="inlineStr">
        <is>
          <t>A different construct, and would be its own set of datasets</t>
        </is>
      </c>
      <c r="G22" s="16" t="inlineStr">
        <is>
          <t>Wrong</t>
        </is>
      </c>
      <c r="H22" s="16" t="inlineStr">
        <is>
          <t>OPEN -- a scope deferral written as a rejection. That it would be its own set of datasets is a reason to curate it, not to drop it; it would roughly double this paper yield to ~24 datasets. The eLife PMC package carries figures only and the data repository was not located in this audit, so availability is unconfirmed -- chase the Data availability statement.</t>
        </is>
      </c>
    </row>
    <row r="23">
      <c r="A23" s="14" t="n">
        <v>22</v>
      </c>
      <c r="B23" s="14" t="inlineStr">
        <is>
          <t>Estevam 2025 (MET kinase)</t>
        </is>
      </c>
      <c r="C23" s="14" t="inlineStr">
        <is>
          <t>10.7554/eLife.101882</t>
        </is>
      </c>
      <c r="D23" s="14" t="n">
        <v>12</v>
      </c>
      <c r="E23" s="14" t="inlineStr">
        <is>
          <t>Machine-learning feature tables and predictions</t>
        </is>
      </c>
      <c r="F23" s="14" t="inlineStr">
        <is>
          <t>Computed rather than assayed</t>
        </is>
      </c>
      <c r="G23" s="14" t="inlineStr">
        <is>
          <t>Sound</t>
        </is>
      </c>
      <c r="H23" s="14" t="inlineStr"/>
    </row>
    <row r="24">
      <c r="A24" s="14" t="n">
        <v>23</v>
      </c>
      <c r="B24" s="14" t="inlineStr">
        <is>
          <t>Jiang 2025 (SHP2)</t>
        </is>
      </c>
      <c r="C24" s="14" t="inlineStr">
        <is>
          <t>10.1038/s41467-025-60641-4</t>
        </is>
      </c>
      <c r="D24" s="14" t="n">
        <v>2</v>
      </c>
      <c r="E24" s="14" t="inlineStr">
        <is>
          <t>Supplementary Data 3 Clinical Variants sheet</t>
        </is>
      </c>
      <c r="F24" s="14" t="inlineStr">
        <is>
          <t>A cross-reference of the same enrichment data against ClinVar and COSMIC rather than an independent measurement</t>
        </is>
      </c>
      <c r="G24" s="14" t="inlineStr">
        <is>
          <t>Sound</t>
        </is>
      </c>
      <c r="H24" s="14" t="inlineStr"/>
    </row>
    <row r="25">
      <c r="A25" s="14" t="n">
        <v>24</v>
      </c>
      <c r="B25" s="14" t="inlineStr">
        <is>
          <t>Jiang 2025 (SHP2)</t>
        </is>
      </c>
      <c r="C25" s="14" t="inlineStr">
        <is>
          <t>10.1038/s41467-025-60641-4</t>
        </is>
      </c>
      <c r="D25" s="14" t="n">
        <v>2</v>
      </c>
      <c r="E25" s="14" t="inlineStr">
        <is>
          <t>COSMIC- and ClinVar-annotated sheets</t>
        </is>
      </c>
      <c r="F25" s="14" t="inlineStr">
        <is>
          <t>Carry no enrichment scores at all</t>
        </is>
      </c>
      <c r="G25" s="14" t="inlineStr">
        <is>
          <t>Sound</t>
        </is>
      </c>
      <c r="H25" s="14" t="inlineStr">
        <is>
          <t>Confirmed: both sheets hold annotation columns only (tissue, histology, clinical significance, accession) and no score column.</t>
        </is>
      </c>
    </row>
    <row r="26">
      <c r="A26" s="14" t="n">
        <v>25</v>
      </c>
      <c r="B26" s="14" t="inlineStr">
        <is>
          <t>Jiang 2025 (SHP2)</t>
        </is>
      </c>
      <c r="C26" s="14" t="inlineStr">
        <is>
          <t>10.1038/s41467-025-60641-4</t>
        </is>
      </c>
      <c r="D26" s="14" t="n">
        <v>2</v>
      </c>
      <c r="E26" s="14" t="inlineStr">
        <is>
          <t>Molecular-dynamics and structural analyses</t>
        </is>
      </c>
      <c r="F26" s="14" t="inlineStr">
        <is>
          <t>Computational</t>
        </is>
      </c>
      <c r="G26" s="14" t="inlineStr">
        <is>
          <t>Sound</t>
        </is>
      </c>
      <c r="H26" s="14" t="inlineStr"/>
    </row>
    <row r="27">
      <c r="A27" s="14" t="n">
        <v>26</v>
      </c>
      <c r="B27" s="14" t="inlineStr">
        <is>
          <t>Wysocki 2025 (RbcL)</t>
        </is>
      </c>
      <c r="C27" s="14" t="inlineStr">
        <is>
          <t>10.1021/acssynbio.5c00591</t>
        </is>
      </c>
      <c r="D27" s="14" t="n">
        <v>2</v>
      </c>
      <c r="E27" s="14" t="inlineStr">
        <is>
          <t>Validation panel of the Supplementary Figure</t>
        </is>
      </c>
      <c r="F27" s="14" t="inlineStr">
        <is>
          <t>A 1000-variant random sample of this same library, not an independent measurement</t>
        </is>
      </c>
      <c r="G27" s="14" t="inlineStr">
        <is>
          <t>Sound</t>
        </is>
      </c>
      <c r="H27" s="14" t="inlineStr"/>
    </row>
    <row r="28">
      <c r="A28" s="13" t="n">
        <v>27</v>
      </c>
      <c r="B28" s="13" t="inlineStr">
        <is>
          <t>Wysocki 2025 (RbcL)</t>
        </is>
      </c>
      <c r="C28" s="13" t="inlineStr">
        <is>
          <t>10.1021/acssynbio.5c00591</t>
        </is>
      </c>
      <c r="D28" s="13" t="n">
        <v>2</v>
      </c>
      <c r="E28" s="13" t="inlineStr">
        <is>
          <t>Synechococcus elongatus RbcL comparisons</t>
        </is>
      </c>
      <c r="F28" s="13" t="inlineStr">
        <is>
          <t>No library-scale fitness table is given</t>
        </is>
      </c>
      <c r="G28" s="13" t="inlineStr">
        <is>
          <t>Not re-verified</t>
        </is>
      </c>
      <c r="H28" s="13" t="inlineStr">
        <is>
          <t>Consistent with what is staged -- the supplementary workbook holds only SI Tables 1 and 2, both H. neapolitanus. Not checked against the SI PDF.</t>
        </is>
      </c>
    </row>
    <row r="29">
      <c r="A29" s="14" t="n">
        <v>28</v>
      </c>
      <c r="B29" s="14" t="inlineStr">
        <is>
          <t>Thornton 2025 (Con1 protease)</t>
        </is>
      </c>
      <c r="C29" s="14" t="inlineStr">
        <is>
          <t>10.1021/acssynbio.5c00062</t>
        </is>
      </c>
      <c r="D29" s="14" t="n">
        <v>2</v>
      </c>
      <c r="E29" s="14" t="inlineStr">
        <is>
          <t>Second, ML-guided round of 32 further variants (Figure 5)</t>
        </is>
      </c>
      <c r="F29" s="14" t="inlineStr">
        <is>
          <t>Per-region mutant index numbers are reused independently of the first-round indices, so merging by index would mix up genotypes</t>
        </is>
      </c>
      <c r="G29" s="14" t="inlineStr">
        <is>
          <t>Sound</t>
        </is>
      </c>
      <c r="H29" s="14" t="inlineStr">
        <is>
          <t>Well evidenced -- the remark names the concrete collision (region B mutant 27 vs the follow-up hit TB27).</t>
        </is>
      </c>
    </row>
    <row r="30">
      <c r="A30" s="14" t="n">
        <v>29</v>
      </c>
      <c r="B30" s="14" t="inlineStr">
        <is>
          <t>Thornton 2025 (Con1 protease)</t>
        </is>
      </c>
      <c r="C30" s="14" t="inlineStr">
        <is>
          <t>10.1021/acssynbio.5c00062</t>
        </is>
      </c>
      <c r="D30" s="14" t="n">
        <v>2</v>
      </c>
      <c r="E30" s="14" t="inlineStr">
        <is>
          <t>Purified-versus-CFPS comparison of Figure 6</t>
        </is>
      </c>
      <c r="F30" s="14" t="inlineStr">
        <is>
          <t>Validates a handful of variants rather than screening a library</t>
        </is>
      </c>
      <c r="G30" s="14" t="inlineStr">
        <is>
          <t>Sound</t>
        </is>
      </c>
      <c r="H30" s="14" t="inlineStr"/>
    </row>
    <row r="31">
      <c r="A31" s="14" t="n">
        <v>30</v>
      </c>
      <c r="B31" s="14" t="inlineStr">
        <is>
          <t>Teo 2025 (influenza NEP)</t>
        </is>
      </c>
      <c r="C31" s="14" t="inlineStr">
        <is>
          <t>10.1016/j.celrep.2024.115196</t>
        </is>
      </c>
      <c r="D31" s="14" t="n">
        <v>1</v>
      </c>
      <c r="E31" s="14" t="inlineStr">
        <is>
          <t>Influenza RNA species (mRNA/cRNA/vRNA) quantification</t>
        </is>
      </c>
      <c r="F31" s="14" t="inlineStr">
        <is>
          <t>A separate assay on wild-type virus rather than a variant screen</t>
        </is>
      </c>
      <c r="G31" s="14" t="inlineStr">
        <is>
          <t>Sound</t>
        </is>
      </c>
      <c r="H31" s="14" t="inlineStr"/>
    </row>
    <row r="32">
      <c r="A32" s="14" t="n">
        <v>31</v>
      </c>
      <c r="B32" s="14" t="inlineStr">
        <is>
          <t>Wong 2025 (CjPglB)</t>
        </is>
      </c>
      <c r="C32" s="14" t="inlineStr">
        <is>
          <t>10.1038/s41467-025-60526-6</t>
        </is>
      </c>
      <c r="D32" s="14" t="n">
        <v>1</v>
      </c>
      <c r="E32" s="14" t="inlineStr">
        <is>
          <t>The 328-construct PD Sequon Variant Sequences library (Fig. 6)</t>
        </is>
      </c>
      <c r="F32" s="14" t="inlineStr">
        <is>
          <t>An insertion-site scan of a separate carrier protein rather than substitutions in CjPglB</t>
        </is>
      </c>
      <c r="G32" s="14" t="inlineStr">
        <is>
          <t>Sound</t>
        </is>
      </c>
      <c r="H32" s="14" t="inlineStr"/>
    </row>
    <row r="33">
      <c r="A33" s="14" t="n">
        <v>32</v>
      </c>
      <c r="B33" s="14" t="inlineStr">
        <is>
          <t>Wong 2025 (CjPglB)</t>
        </is>
      </c>
      <c r="C33" s="14" t="inlineStr">
        <is>
          <t>10.1038/s41467-025-60526-6</t>
        </is>
      </c>
      <c r="D33" s="14" t="n">
        <v>1</v>
      </c>
      <c r="E33" s="14" t="inlineStr">
        <is>
          <t>Seven-mutant Western blot validation panel</t>
        </is>
      </c>
      <c r="F33" s="14" t="inlineStr">
        <is>
          <t>Confirms a subset of the same screen rather than measuring independently</t>
        </is>
      </c>
      <c r="G33" s="14" t="inlineStr">
        <is>
          <t>Sound</t>
        </is>
      </c>
      <c r="H33" s="14" t="inlineStr"/>
    </row>
    <row r="34">
      <c r="A34" s="14" t="n">
        <v>33</v>
      </c>
      <c r="B34" s="14" t="inlineStr">
        <is>
          <t>Wong 2025 (CjPglB)</t>
        </is>
      </c>
      <c r="C34" s="14" t="inlineStr">
        <is>
          <t>10.1038/s41467-025-60526-6</t>
        </is>
      </c>
      <c r="D34" s="14" t="n">
        <v>1</v>
      </c>
      <c r="E34" s="14" t="inlineStr">
        <is>
          <t>RiPP recognition-element binding and lasso-peptide cyclization sections</t>
        </is>
      </c>
      <c r="F34" s="14" t="inlineStr">
        <is>
          <t>Characterize unrelated protein families</t>
        </is>
      </c>
      <c r="G34" s="14" t="inlineStr">
        <is>
          <t>Sound</t>
        </is>
      </c>
      <c r="H34" s="14" t="inlineStr"/>
    </row>
    <row r="35">
      <c r="A35" s="14" t="n">
        <v>34</v>
      </c>
      <c r="B35" s="14" t="inlineStr">
        <is>
          <t>Somvilla 2025 (SaAmd)</t>
        </is>
      </c>
      <c r="C35" s="14" t="inlineStr">
        <is>
          <t>10.1021/acscatal.5c01903</t>
        </is>
      </c>
      <c r="D35" s="14" t="n">
        <v>8</v>
      </c>
      <c r="E35" s="14" t="inlineStr">
        <is>
          <t>FACS sorting data (Figures S7-S8)</t>
        </is>
      </c>
      <c r="F35" s="14" t="inlineStr">
        <is>
          <t>Population fluorescence distributions rather than per-variant scores</t>
        </is>
      </c>
      <c r="G35" s="14" t="inlineStr">
        <is>
          <t>Sound</t>
        </is>
      </c>
      <c r="H35" s="14" t="inlineStr"/>
    </row>
    <row r="36">
      <c r="A36" s="14" t="n">
        <v>35</v>
      </c>
      <c r="B36" s="14" t="inlineStr">
        <is>
          <t>Somvilla 2025 (SaAmd)</t>
        </is>
      </c>
      <c r="C36" s="14" t="inlineStr">
        <is>
          <t>10.1021/acscatal.5c01903</t>
        </is>
      </c>
      <c r="D36" s="14" t="n">
        <v>8</v>
      </c>
      <c r="E36" s="14" t="inlineStr">
        <is>
          <t>Library-composition tables (Table S2)</t>
        </is>
      </c>
      <c r="F36" s="14" t="inlineStr">
        <is>
          <t>List what was randomized rather than what each variant did</t>
        </is>
      </c>
      <c r="G36" s="14" t="inlineStr">
        <is>
          <t>Sound</t>
        </is>
      </c>
      <c r="H36" s="14" t="inlineStr"/>
    </row>
    <row r="37">
      <c r="A37" s="14" t="n">
        <v>36</v>
      </c>
      <c r="B37" s="14" t="inlineStr">
        <is>
          <t>Somvilla 2025 (SaAmd)</t>
        </is>
      </c>
      <c r="C37" s="14" t="inlineStr">
        <is>
          <t>10.1021/acscatal.5c01903</t>
        </is>
      </c>
      <c r="D37" s="14" t="n">
        <v>8</v>
      </c>
      <c r="E37" s="14" t="inlineStr">
        <is>
          <t>PdAmd comparison (Figure S9)</t>
        </is>
      </c>
      <c r="F37" s="14" t="inlineStr">
        <is>
          <t>A different enzyme rather than a variant of this wild type</t>
        </is>
      </c>
      <c r="G37" s="14" t="inlineStr">
        <is>
          <t>Sound</t>
        </is>
      </c>
      <c r="H37" s="14" t="inlineStr"/>
    </row>
    <row r="38">
      <c r="A38" s="16" t="n">
        <v>37</v>
      </c>
      <c r="B38" s="16" t="inlineStr">
        <is>
          <t>Singh 2025 (AtHMT / YmPhytase)</t>
        </is>
      </c>
      <c r="C38" s="16" t="inlineStr">
        <is>
          <t>10.1038/s41467-025-61209-y</t>
        </is>
      </c>
      <c r="D38" s="16" t="n">
        <v>2</v>
      </c>
      <c r="E38" s="16" t="inlineStr">
        <is>
          <t>AtHMT round-1 variant identity</t>
        </is>
      </c>
      <c r="F38" s="16" t="inlineStr">
        <is>
          <t>Variant identity is not in the screening file, whose rows are plate wells; recovered by joining each well to the primer plate map of Supplementary Data 1</t>
        </is>
      </c>
      <c r="G38" s="16" t="inlineStr">
        <is>
          <t>Wrong</t>
        </is>
      </c>
      <c r="H38" s="16" t="inlineStr">
        <is>
          <t>Harmless but false -- the round-1 sheets carry their own Mutation column holding all 176 labels, identical to the set the primer-map join produced. The join was never needed. Corrected in the rebuilt remark 2026-08-27.</t>
        </is>
      </c>
    </row>
  </sheetData>
  <autoFilter ref="A1:H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22" customWidth="1" min="3" max="3"/>
    <col width="22" customWidth="1" min="4" max="4"/>
    <col width="60" customWidth="1" min="5" max="5"/>
    <col width="50" customWidth="1" min="6" max="6"/>
  </cols>
  <sheetData>
    <row r="1" ht="30" customHeight="1">
      <c r="A1" s="3" t="inlineStr">
        <is>
          <t>#</t>
        </is>
      </c>
      <c r="B1" s="3" t="inlineStr">
        <is>
          <t>Paper (short label)</t>
        </is>
      </c>
      <c r="C1" s="3" t="inlineStr">
        <is>
          <t>DOI</t>
        </is>
      </c>
      <c r="D1" s="3" t="inlineStr">
        <is>
          <t>Sweep</t>
        </is>
      </c>
      <c r="E1" s="3" t="inlineStr">
        <is>
          <t>Why it's promising</t>
        </is>
      </c>
      <c r="F1" s="3" t="inlineStr">
        <is>
          <t>What's blocking it</t>
        </is>
      </c>
    </row>
    <row r="2">
      <c r="A2" s="12" t="inlineStr">
        <is>
          <t>1</t>
        </is>
      </c>
      <c r="B2" s="12" t="inlineStr">
        <is>
          <t>Class A beta-lactamase gatekeeper-residue screen (5 enzymes)</t>
        </is>
      </c>
      <c r="C2" s="12" t="inlineStr">
        <is>
          <t>10.1016/j.jbc.2025.110347</t>
        </is>
      </c>
      <c r="D2" s="12" t="inlineStr">
        <is>
          <t>Directed-evolution sweep</t>
        </is>
      </c>
      <c r="E2" s="12" t="inlineStr">
        <is>
          <t>Genuine deep-sequencing fitness data in a legacy .xls (needs xlrd): site saturation of Ambler position 105 in BlaC, CTX-M-14, KPC-2, NmcA, TEM-1, each vs. 7 substrates/inhibitors, 3 replicates, raw counts and per-replicate fitness values -- not just a figure.</t>
        </is>
      </c>
      <c r="F2" s="12" t="inlineStr">
        <is>
          <t>Single saturated position per enzyme: 19 substitutions + WT, one row under this branch's usual floor. Worth a second look if the bar is 'genuine deep-sequencing data' rather than 'library-scale'.</t>
        </is>
      </c>
    </row>
    <row r="3">
      <c r="A3" s="12" t="inlineStr">
        <is>
          <t>2</t>
        </is>
      </c>
      <c r="B3" s="12" t="inlineStr">
        <is>
          <t>Tryptophan decarboxylase (TDC) active-site recombination (SUMS)</t>
        </is>
      </c>
      <c r="C3" s="12" t="inlineStr">
        <is>
          <t>10.1002/pro.70356</t>
        </is>
      </c>
      <c r="D3" s="12" t="inlineStr">
        <is>
          <t>Directed-evolution sweep</t>
        </is>
      </c>
      <c r="E3" s="12" t="inlineStr">
        <is>
          <t>Substrate-multiplexed screening across 5 active-site positions; a clean prior single-site-saturation sub-library (96 unique single mutants) plus iterative combinatorial recombination libraries (~250 variants total, up to triple mutants, LC-MS-quantified). Multi-site labels are within format scope.</t>
        </is>
      </c>
      <c r="F3" s="12" t="inlineStr">
        <is>
          <t>Data availability is 'upon reasonable request' -- nothing machine-readable found in the supplement. Needs an email to the authors.</t>
        </is>
      </c>
    </row>
    <row r="4">
      <c r="A4" s="12" t="inlineStr">
        <is>
          <t>3</t>
        </is>
      </c>
      <c r="B4" s="12" t="inlineStr">
        <is>
          <t>Yeast-display A-beta-fibril conformational antibody campaign</t>
        </is>
      </c>
      <c r="C4" s="12" t="inlineStr">
        <is>
          <t>10.3389/fimmu.2025.1655893</t>
        </is>
      </c>
      <c r="D4" s="12" t="inlineStr">
        <is>
          <t>Directed-evolution sweep</t>
        </is>
      </c>
      <c r="E4" s="12" t="inlineStr">
        <is>
          <t>Real NGS sort-round data deposited on GitHub (Tessier-Lab-UMich/druglike-abeta-antibodies): CDR-sequence frequency tables for a defined 10-site NNK library (5 in HCDR1, 5 in LCDR2) built off a named parent antibody ('clone 97').</t>
        </is>
      </c>
      <c r="F4" s="12" t="inlineStr">
        <is>
          <t>Needs clone 97's parent CDR sequence from a different, earlier paper, and working out which numbered file per replicate is 'before' vs. 'after' selection -- not safe to guess at.</t>
        </is>
      </c>
    </row>
    <row r="5">
      <c r="A5" s="12" t="inlineStr">
        <is>
          <t>4</t>
        </is>
      </c>
      <c r="B5" s="12" t="inlineStr">
        <is>
          <t>Echinocandin resistance in S. cerevisiae -- Fks1 hotspot DMS</t>
        </is>
      </c>
      <c r="C5" s="12" t="inlineStr">
        <is>
          <t>10.1093/genetics/iyag055</t>
        </is>
      </c>
      <c r="D5" s="12" t="inlineStr">
        <is>
          <t>Eighth sweep (2026)</t>
        </is>
      </c>
      <c r="E5" s="12" t="inlineStr">
        <is>
          <t>465 single substitutions across three Fks1 hotspots, bulk-competition DMS with selection coefficients, against anidulafungin, caspofungin and micafungin plus a no-drug control -- four conditions on one WT.</t>
        </is>
      </c>
      <c r="F5" s="12" t="inlineStr">
        <is>
          <t>No formal data-availability statement in the full text. The selection coefficients are presumably in the eleven supplementary tables, but that is a Phase 0 chase, not a decided fact.</t>
        </is>
      </c>
    </row>
    <row r="6">
      <c r="A6" s="12" t="inlineStr">
        <is>
          <t>5</t>
        </is>
      </c>
      <c r="B6" s="12" t="inlineStr">
        <is>
          <t>Vanella 2024 -- the EP-Seq activity-stability paper behind Vanella 2026</t>
        </is>
      </c>
      <c r="C6" s="12" t="inlineStr">
        <is>
          <t>10.1038/s41467-024-45630-3</t>
        </is>
      </c>
      <c r="D6" s="12" t="inlineStr">
        <is>
          <t>Eighth sweep (2026), found while curating Vanella 2026</t>
        </is>
      </c>
      <c r="E6" s="12" t="inlineStr">
        <is>
          <t>Same DAOx construct as the shipped Vanella 2026 datasets, so Phase 3 is already settled: 365 aa, P80324 1-365, confirmed from the plasmid at Zenodo 10.5281/zenodo.8388902. It is also the paper that actually measured the surface-display expression scores excluded from Vanella 2026, so curating it gives that data a legitimate home under its own authors. Activity-stability tradeoff framing suggests both an activity and a stability readout.</t>
        </is>
      </c>
      <c r="F6" s="12" t="inlineStr">
        <is>
          <t>Not chased yet. Its supplementary bundle and Zenodo deposit were downloaded during the Vanella 2026 work (record 8388902 includes a 2 GB PacBio FASTQ and a 14 GB Illumina zip -- filter by size). Needs Phase 0-1 from the top.</t>
        </is>
      </c>
    </row>
    <row r="7">
      <c r="A7" s="12" t="inlineStr">
        <is>
          <t>6</t>
        </is>
      </c>
      <c r="B7" s="12" t="inlineStr">
        <is>
          <t>Form II rubisco fitness landscape (Gallionella sp.)</t>
        </is>
      </c>
      <c r="C7" s="12" t="inlineStr">
        <is>
          <t>10.1126/sciadv.aee9222</t>
        </is>
      </c>
      <c r="D7" s="12" t="inlineStr">
        <is>
          <t>Tenth sweep (enzyme, never-swept journals)</t>
        </is>
      </c>
      <c r="E7" s="12" t="inlineStr">
        <is>
          <t>Best candidate of the tenth sweep. A barcoded library of 15,000 single-site and multi-site variants scored by growth-coupled selection in Synechocystis sp. PCC 6803 -- one wild type, bacterial, far above the floor, and a second rubisco to sit beside Wysocki's RbcL.</t>
        </is>
      </c>
      <c r="F7" s="12" t="inlineStr">
        <is>
          <t>Unreachable from here: Europe PMC has the record but inEPMC:'N', hasSuppl:'N', subscription only. Needs the article and its supplement dropped in by hand.</t>
        </is>
      </c>
    </row>
    <row r="8">
      <c r="A8" s="12" t="inlineStr">
        <is>
          <t>7</t>
        </is>
      </c>
      <c r="B8" s="12" t="inlineStr">
        <is>
          <t>T7 RNA polymerase dual-fitness evolution</t>
        </is>
      </c>
      <c r="C8" s="12" t="inlineStr">
        <is>
          <t>10.1093/nar/gkag259</t>
        </is>
      </c>
      <c r="D8" s="12" t="inlineStr">
        <is>
          <t>Tenth sweep (enzyme, never-swept journals)</t>
        </is>
      </c>
      <c r="E8" s="12" t="inlineStr">
        <is>
          <t>T7 RNAP is already in the repo from Jiang 2024, so a second property on the same protein is worth having, and 'dual-fitness' means two readouts (Tm and high-temperature activity).</t>
        </is>
      </c>
      <c r="F8" s="12" t="inlineStr">
        <is>
          <t>No deposited table -- data availability says 'All data described are contained within the article'. The supplemental zip holds three PDFs and no spreadsheet, but SI_NAR.pdf carries 249 distinct mutation labels with pages 25-29 dense in them. Needs PDF extraction per the Somvilla precedent.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2026-08-27T06:50:34Z</dcterms:created>
  <dcterms:modified xmlns:dcterms="http://purl.org/dc/terms/" xmlns:xsi="http://www.w3.org/2001/XMLSchema-instance" xsi:type="dcterms:W3CDTF">2026-09-06T03:11:34Z</dcterms:modified>
</cp:coreProperties>
</file>