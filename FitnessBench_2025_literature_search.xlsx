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18</v>
      </c>
    </row>
    <row r="5">
      <c r="A5" s="4" t="inlineStr">
        <is>
          <t>Datasets shipped</t>
        </is>
      </c>
      <c r="B5" s="4" t="n">
        <v>151</v>
      </c>
    </row>
    <row r="6">
      <c r="A6" s="4" t="inlineStr">
        <is>
          <t>Total variants across all shipped datasets</t>
        </is>
      </c>
      <c r="B6" s="4" t="n">
        <v>576366</v>
      </c>
    </row>
    <row r="7">
      <c r="A7" s="4" t="inlineStr">
        <is>
          <t>Papers/items explicitly rejected, with a recorded reason</t>
        </is>
      </c>
      <c r="B7" s="4" t="n">
        <v>59</v>
      </c>
    </row>
    <row r="8">
      <c r="A8" s="4" t="inlineStr">
        <is>
          <t>Papers left open ("maybe" — not curated, not rejected)</t>
        </is>
      </c>
      <c r="B8" s="4" t="n">
        <v>5</v>
      </c>
    </row>
    <row r="9">
      <c r="A9" s="4" t="inlineStr">
        <is>
          <t>Search sweeps run</t>
        </is>
      </c>
      <c r="B9" s="4" t="n">
        <v>10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89</v>
      </c>
      <c r="C13" s="5" t="n">
        <v>94612</v>
      </c>
      <c r="D13" s="5" t="n">
        <v>7</v>
      </c>
      <c r="E13" s="5" t="inlineStr">
        <is>
          <t>SpCas9 (PAMmla), RbcL, McbA, CjPglB, SaAmd, LbCas12a, YmPhytase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14</v>
      </c>
      <c r="C15" s="5" t="n">
        <v>147603</v>
      </c>
      <c r="D15" s="5" t="n">
        <v>2</v>
      </c>
      <c r="E15" s="5" t="inlineStr">
        <is>
          <t>RNA Pol II Rpb1 (S. cerevisiae), DAOx (Rhodotorula gracilis)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18</v>
      </c>
      <c r="C21" s="6" t="n">
        <v>148386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>
      <c r="A34" s="5" t="inlineStr">
        <is>
          <t>Eighth sweep (2026)</t>
        </is>
      </c>
      <c r="B34" s="5" t="inlineStr">
        <is>
          <t>The first sweep of a year other than 2025, run 2026-09-04. Two Europe PMC queries: ABSTRACT:("deep mutational scanning" OR "site-saturation mutagenesis" OR "variant effect map") -- 66 hits; and ABSTRACT:("enzyme engineering" OR "protein engineering" OR "machine learning-guided") AND ABSTRACT:"variants" -- 45 hits. Both relevance-ordered and read to pageSize 40, so a top slice rather than an enumeration; the third, sixth and seventh sweeps are worth re-running verbatim against 2026.</t>
        </is>
      </c>
      <c r="C34" s="5" t="inlineStr">
        <is>
          <t>All publishers via Europe PMC, 2026, open access, journals only</t>
        </is>
      </c>
    </row>
    <row r="35">
      <c r="A35" s="5" t="inlineStr">
        <is>
          <t>Ninth sweep (display axis)</t>
        </is>
      </c>
      <c r="B35" s="17" t="n"/>
      <c r="C35" s="17" t="n"/>
      <c r="D35" s="17" t="n"/>
      <c r="E35" s="18" t="n"/>
    </row>
    <row r="37">
      <c r="A37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11</v>
      </c>
      <c r="I5" s="9" t="n">
        <v>11395</v>
      </c>
      <c r="J5" s="9" t="inlineStr">
        <is>
          <t>McbA amide synthetase; conversion of 9 pharmaceuticals Plus two ML-predicted combinatorial datasets (243 multi-site variants each, moclobemide and metoclopramide) from Source Data Fig 4a/4b, whose readout is normalized to the best variant in the set rather than to wild type.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9" t="inlineStr">
        <is>
          <t>18</t>
        </is>
      </c>
      <c r="B19" s="9" t="inlineStr">
        <is>
          <t>Vanella</t>
        </is>
      </c>
      <c r="C19" s="9" t="inlineStr">
        <is>
          <t>2026</t>
        </is>
      </c>
      <c r="D19" s="9" t="inlineStr">
        <is>
          <t>Nat Commun</t>
        </is>
      </c>
      <c r="E19" s="9" t="inlineStr">
        <is>
          <t>Decoding the substrate specificity landscape of a promiscuous enzyme through multi-substrate mutational scanning</t>
        </is>
      </c>
      <c r="F19" s="9" t="inlineStr">
        <is>
          <t>10.1038/s41467-026-69913-z</t>
        </is>
      </c>
      <c r="G19" s="9" t="inlineStr">
        <is>
          <t>datasets</t>
        </is>
      </c>
      <c r="H19" s="9" t="inlineStr">
        <is>
          <t>5</t>
        </is>
      </c>
      <c r="I19" s="9" t="inlineStr">
        <is>
          <t>29000</t>
        </is>
      </c>
      <c r="J19" s="9" t="inlineStr">
        <is>
          <t>D-amino acid oxidase (DAOx), Rhodotorula gracilis, 365 aa. One EP-Seq library of 5,800 single missense variants scored against five D-amino acid substrates, each at its Km -- one dataset per substrate. Readout is the source's expression-normalized activity fitness (WT = 1 by definition, no WT row).</t>
        </is>
      </c>
    </row>
    <row r="20">
      <c r="A20" s="10" t="inlineStr">
        <is>
          <t>TOTAL</t>
        </is>
      </c>
      <c r="B20" s="4" t="n"/>
      <c r="C20" s="4" t="n"/>
      <c r="D20" s="4" t="n"/>
      <c r="E20" s="4" t="n"/>
      <c r="F20" s="4" t="n"/>
      <c r="G20" s="4" t="n"/>
      <c r="H20" s="10">
        <f>SUM(H2:H19)</f>
        <v/>
      </c>
      <c r="I20" s="10">
        <f>SUM(I2:I19)</f>
        <v/>
      </c>
      <c r="J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  <row r="60">
      <c r="A60" s="11" t="inlineStr">
        <is>
          <t>59</t>
        </is>
      </c>
      <c r="B60" s="11" t="inlineStr">
        <is>
          <t>Urease functional and catalytic landscape (H. pylori UreB)</t>
        </is>
      </c>
      <c r="C60" s="11" t="inlineStr">
        <is>
          <t>10.1080/19490976.2026.2653575</t>
        </is>
      </c>
      <c r="D60" s="11" t="inlineStr">
        <is>
          <t>Eighth sweep (2026)</t>
        </is>
      </c>
      <c r="E60" s="11" t="inlineStr">
        <is>
          <t>58 alanine-scan point mutants clears the 20-variant floor, but the readouts are a spread of expression, growth, colonization and inhibitor-binding assays rather than one quantity measured across the panel, and the paper carries no data-availability statement at all. The separate 37-site phage-display library is not reported per variant.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SUPERSEDED 2026-09-05. The audit called this 'not a rejection reason' from the file listing alone. Opened: the nine *_train.xlsx files are 4-site single-mutant exports (4 x 19 + parent) whose sites all fall inside the shipped 64-residue screen and whose values match it 19/19 exactly -- ML training exports of data already curated, not a separate library. Only the two *_test.xlsx files hold new genotypes.</t>
        </is>
      </c>
      <c r="H9" s="16" t="inlineStr">
        <is>
          <t>The new genotypes are 243 moclobemide and 169 metoclopramide multi-site variants, but the GitHub scale is unrecoverable (shipped/github ratio 1.2-15.8). Use Source Data 'Fig 4a' (moclobemide, 243 distinct) and 'Fig4b' (metoclopramide, 243, a superset), whose 'Actual' column is min-max normalized to the best variant = 1 -- a different denominator from the shipped fold-vs-WT, so two new datasets, not extra rows. SHIPPED 2026-09-05 as two datasets, 243 variants each, under Activity/CatalyticActivity/DMS/. The nine *_train.xlsx files remain not curatable.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inlineStr">
        <is>
          <t>1</t>
        </is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inlineStr">
        <is>
          <t>2</t>
        </is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inlineStr">
        <is>
          <t>3</t>
        </is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  <row r="5">
      <c r="A5" s="12" t="inlineStr">
        <is>
          <t>4</t>
        </is>
      </c>
      <c r="B5" s="12" t="inlineStr">
        <is>
          <t>Jansen 2026 -- CymR transcriptional repressor DMS (GROQ-Seq)</t>
        </is>
      </c>
      <c r="C5" s="12" t="inlineStr">
        <is>
          <t>10.1093/nar/gkag206</t>
        </is>
      </c>
      <c r="D5" s="12" t="inlineStr">
        <is>
          <t>Eighth sweep (2026)</t>
        </is>
      </c>
      <c r="E5" s="12" t="inlineStr">
        <is>
          <t>CymR (TetR family, Pseudomonas putida, 202 aa), 7,887 variants over 24 conditions (+/- tetracycline x three ligands). Per-variant data is Supplementary file 1, a CSV, with Supplementary Table S3 as its column legend.</t>
        </is>
      </c>
      <c r="F5" s="12" t="inlineStr">
        <is>
          <t>Only the ~3,819 substitutions are curatable -- the ~4,040 insertions and ~201 deletions cannot be written as {WT}{position}{MUT}. Also needs a decision on which of the 24 conditions become datasets.</t>
        </is>
      </c>
    </row>
    <row r="6">
      <c r="A6" s="12" t="inlineStr">
        <is>
          <t>5</t>
        </is>
      </c>
      <c r="B6" s="12" t="inlineStr">
        <is>
          <t>Echinocandin resistance in S. cerevisiae -- Fks1 hotspot DMS</t>
        </is>
      </c>
      <c r="C6" s="12" t="inlineStr">
        <is>
          <t>10.1093/genetics/iyag055</t>
        </is>
      </c>
      <c r="D6" s="12" t="inlineStr">
        <is>
          <t>Eighth sweep (2026)</t>
        </is>
      </c>
      <c r="E6" s="12" t="inlineStr">
        <is>
          <t>465 single substitutions across three Fks1 hotspots, bulk-competition DMS with selection coefficients, against anidulafungin, caspofungin and micafungin plus a no-drug control -- four conditions on one WT.</t>
        </is>
      </c>
      <c r="F6" s="12" t="inlineStr">
        <is>
          <t>No formal data-availability statement in the full text. The selection coefficients are presumably in the eleven supplementary tables, but that is a Phase 0 chase, not a decided fact.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2026-09-05T03:08:29Z</dcterms:modified>
</cp:coreProperties>
</file>