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urated" sheetId="2" state="visible" r:id="rId2"/>
    <sheet xmlns:r="http://schemas.openxmlformats.org/officeDocument/2006/relationships" name="Rejected" sheetId="3" state="visible" r:id="rId3"/>
    <sheet xmlns:r="http://schemas.openxmlformats.org/officeDocument/2006/relationships" name="Open (maybes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i val="1"/>
    </font>
    <font>
      <b val="1"/>
    </font>
  </fonts>
  <fills count="6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0" borderId="1" pivotButton="0" quotePrefix="0" xfId="0"/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  <col width="10" customWidth="1" min="4" max="4"/>
    <col width="50" customWidth="1" min="5" max="5"/>
  </cols>
  <sheetData>
    <row r="1">
      <c r="A1" s="1" t="inlineStr">
        <is>
          <t>FitnessBench 2025 branch — literature search summary</t>
        </is>
      </c>
    </row>
    <row r="3" ht="30" customHeight="1">
      <c r="A3" s="2" t="inlineStr">
        <is>
          <t>Metric</t>
        </is>
      </c>
      <c r="B3" s="2" t="inlineStr">
        <is>
          <t>Value</t>
        </is>
      </c>
      <c r="C3" s="3" t="n"/>
      <c r="D3" s="3" t="n"/>
      <c r="E3" s="3" t="n"/>
    </row>
    <row r="4">
      <c r="A4" s="4" t="inlineStr">
        <is>
          <t>Papers curated (shipped to the branch)</t>
        </is>
      </c>
      <c r="B4" s="4" t="n">
        <v>17</v>
      </c>
    </row>
    <row r="5">
      <c r="A5" s="4" t="inlineStr">
        <is>
          <t>Datasets shipped</t>
        </is>
      </c>
      <c r="B5" s="4" t="n">
        <v>143</v>
      </c>
    </row>
    <row r="6">
      <c r="A6" s="4" t="inlineStr">
        <is>
          <t>Total variants across all shipped datasets</t>
        </is>
      </c>
      <c r="B6" s="4" t="n">
        <v>546125</v>
      </c>
    </row>
    <row r="7">
      <c r="A7" s="4" t="inlineStr">
        <is>
          <t>Papers/items explicitly rejected, with a recorded reason</t>
        </is>
      </c>
      <c r="B7" s="4" t="n">
        <v>58</v>
      </c>
    </row>
    <row r="8">
      <c r="A8" s="4" t="inlineStr">
        <is>
          <t>Papers left open ("maybe" — not curated, not rejected)</t>
        </is>
      </c>
      <c r="B8" s="4" t="n">
        <v>3</v>
      </c>
    </row>
    <row r="9">
      <c r="A9" s="4" t="inlineStr">
        <is>
          <t>Search sweeps run</t>
        </is>
      </c>
      <c r="B9" s="4" t="n">
        <v>8</v>
      </c>
    </row>
    <row r="11" ht="30" customHeight="1">
      <c r="A11" s="3" t="inlineStr">
        <is>
          <t>Source-organism category</t>
        </is>
      </c>
      <c r="B11" s="3" t="inlineStr">
        <is>
          <t>Datasets</t>
        </is>
      </c>
      <c r="C11" s="3" t="inlineStr">
        <is>
          <t>Variants</t>
        </is>
      </c>
      <c r="D11" s="3" t="inlineStr">
        <is>
          <t>Papers</t>
        </is>
      </c>
      <c r="E11" s="3" t="inlineStr">
        <is>
          <t>Example proteins</t>
        </is>
      </c>
    </row>
    <row r="12">
      <c r="A12" s="5" t="inlineStr">
        <is>
          <t>Bacteria</t>
        </is>
      </c>
      <c r="B12" s="5" t="n">
        <v>86</v>
      </c>
      <c r="C12" s="5" t="n">
        <v>93677</v>
      </c>
      <c r="D12" s="5" t="n">
        <v>6</v>
      </c>
      <c r="E12" s="5" t="inlineStr">
        <is>
          <t>SpCas9 (PAMmla), RbcL, McbA, CjPglB, SaAmd, LbCas12a, creatinase</t>
        </is>
      </c>
    </row>
    <row r="13">
      <c r="A13" s="5" t="inlineStr">
        <is>
          <t>Archaea</t>
        </is>
      </c>
      <c r="B13" s="5" t="n">
        <v>5</v>
      </c>
      <c r="C13" s="5" t="n">
        <v>1753</v>
      </c>
      <c r="D13" s="5" t="n">
        <v>4</v>
      </c>
      <c r="E13" s="5" t="inlineStr">
        <is>
          <t>ParLQ, PylRS (IFRS), pCNFRS, Tgo-D4K polymerase</t>
        </is>
      </c>
    </row>
    <row r="14">
      <c r="A14" s="5" t="inlineStr">
        <is>
          <t>Yeast / fungi</t>
        </is>
      </c>
      <c r="B14" s="5" t="n">
        <v>9</v>
      </c>
      <c r="C14" s="5" t="n">
        <v>118603</v>
      </c>
      <c r="D14" s="5" t="n">
        <v>1</v>
      </c>
      <c r="E14" s="5" t="inlineStr">
        <is>
          <t>RNA Pol II Rpb1 (S. cerevisiae)</t>
        </is>
      </c>
    </row>
    <row r="15">
      <c r="A15" s="5" t="inlineStr">
        <is>
          <t>Plants</t>
        </is>
      </c>
      <c r="B15" s="5" t="n">
        <v>2</v>
      </c>
      <c r="C15" s="5" t="n">
        <v>419</v>
      </c>
      <c r="D15" s="5" t="n">
        <v>2</v>
      </c>
      <c r="E15" s="5" t="inlineStr">
        <is>
          <t>AtHMT, CONSTANS (A. thaliana)</t>
        </is>
      </c>
    </row>
    <row r="16">
      <c r="A16" s="5" t="inlineStr">
        <is>
          <t>Viruses (incl. bacteriophage)</t>
        </is>
      </c>
      <c r="B16" s="5" t="n">
        <v>25</v>
      </c>
      <c r="C16" s="5" t="n">
        <v>270545</v>
      </c>
      <c r="D16" s="5" t="n">
        <v>4</v>
      </c>
      <c r="E16" s="5" t="inlineStr">
        <is>
          <t>TEV protease, influenza NEP, T7 RNA polymerase, Con1 (designed potyviral consensus)</t>
        </is>
      </c>
    </row>
    <row r="17">
      <c r="A17" s="5" t="inlineStr">
        <is>
          <t>Human</t>
        </is>
      </c>
      <c r="B17" s="5" t="n">
        <v>14</v>
      </c>
      <c r="C17" s="5" t="n">
        <v>61070</v>
      </c>
      <c r="D17" s="5" t="n">
        <v>2</v>
      </c>
      <c r="E17" s="5" t="inlineStr">
        <is>
          <t>MET kinase domain, SHP2</t>
        </is>
      </c>
    </row>
    <row r="18">
      <c r="A18" s="5" t="inlineStr">
        <is>
          <t>Other (animal-derived)</t>
        </is>
      </c>
      <c r="B18" s="5" t="n">
        <v>2</v>
      </c>
      <c r="C18" s="5" t="n">
        <v>58</v>
      </c>
      <c r="D18" s="5" t="n">
        <v>1</v>
      </c>
      <c r="E18" s="5" t="inlineStr">
        <is>
          <t>VHH nanobody, camelid-derived</t>
        </is>
      </c>
    </row>
    <row r="19">
      <c r="A19" s="6" t="inlineStr">
        <is>
          <t xml:space="preserve">  Subtotal: Prokaryotes (Bacteria + Archaea)</t>
        </is>
      </c>
      <c r="B19" s="6" t="n">
        <v>91</v>
      </c>
      <c r="C19" s="6" t="n">
        <v>95430</v>
      </c>
      <c r="D19" s="5" t="n"/>
      <c r="E19" s="5" t="n"/>
    </row>
    <row r="20">
      <c r="A20" s="6" t="inlineStr">
        <is>
          <t xml:space="preserve">  Subtotal: Eukaryotes, non-human (Yeast/fungi + Plants + Other)</t>
        </is>
      </c>
      <c r="B20" s="6" t="n">
        <v>13</v>
      </c>
      <c r="C20" s="6" t="n">
        <v>119080</v>
      </c>
      <c r="D20" s="5" t="n"/>
      <c r="E20" s="5" t="n"/>
    </row>
    <row r="21">
      <c r="A21" s="7" t="inlineStr">
        <is>
          <t>TOTAL</t>
        </is>
      </c>
      <c r="B21" s="7">
        <f>SUM(B12:B18)</f>
        <v/>
      </c>
      <c r="C21" s="7">
        <f>SUM(C12:C18)</f>
        <v/>
      </c>
      <c r="D21" s="5" t="n"/>
      <c r="E21" s="5" t="n"/>
    </row>
    <row r="22" ht="60" customHeight="1">
      <c r="A22" s="8" t="inlineStr">
        <is>
          <t>'Papers' counts distinct DOIs within that category; a paper spanning several organisms (e.g. Jiang 2024/PRIME, which has datasets on a bacterium, an archaeon, a bacteriophage and a camelid nanobody) is counted once per category it touches, so the Papers column does not sum to the 17-paper total. Datasets and Variants do sum exactly to the Curated tab's totals -- every dataset has exactly one source_organism. 'Other (animal-derived)' is the VHH nanobody dataset, filed under datasets/ even though a camelid is not a bacterium, archaeon, yeast or plant -- the branch has no separate tree for it yet.</t>
        </is>
      </c>
    </row>
    <row r="24" ht="30" customHeight="1">
      <c r="A24" s="3" t="inlineStr">
        <is>
          <t>Sweep</t>
        </is>
      </c>
      <c r="B24" s="3" t="inlineStr">
        <is>
          <t>What it searched</t>
        </is>
      </c>
      <c r="C24" s="3" t="inlineStr">
        <is>
          <t>Venue coverage</t>
        </is>
      </c>
      <c r="D24" s="3" t="n"/>
      <c r="E24" s="3" t="n"/>
    </row>
    <row r="25">
      <c r="A25" s="5" t="inlineStr">
        <is>
          <t>First sweep</t>
        </is>
      </c>
      <c r="B25" s="5" t="inlineStr">
        <is>
          <t>"machine learning guided enzyme engineering" (+/- organism)</t>
        </is>
      </c>
      <c r="C25" s="5" t="inlineStr">
        <is>
          <t>nature.com, 2025</t>
        </is>
      </c>
    </row>
    <row r="26">
      <c r="A26" s="5" t="inlineStr">
        <is>
          <t>Second sweep</t>
        </is>
      </c>
      <c r="B26" s="5" t="inlineStr">
        <is>
          <t>Same query, organism clause dropped</t>
        </is>
      </c>
      <c r="C26" s="5" t="inlineStr">
        <is>
          <t>Springer Nature via Europe PMC, 2025</t>
        </is>
      </c>
    </row>
    <row r="27">
      <c r="A27" s="5" t="inlineStr">
        <is>
          <t>Third sweep</t>
        </is>
      </c>
      <c r="B27" s="5" t="inlineStr">
        <is>
          <t>"deep mutational scanning" / "variant effect map" / "massively parallel mutagenesis" / "site-saturation mutagenesis"</t>
        </is>
      </c>
      <c r="C27" s="5" t="inlineStr">
        <is>
          <t>All publishers via Europe PMC, 2025, open access</t>
        </is>
      </c>
    </row>
    <row r="28">
      <c r="A28" s="5" t="inlineStr">
        <is>
          <t>Fourth sweep (ACS) -- SUPERSEDED</t>
        </is>
      </c>
      <c r="B28" s="5" t="inlineStr">
        <is>
          <t>No single boolean query recorded (unlike the other sweeps) -- browsed each journal's 2025 issue listings directly, then read title and abstract of anything protein/enzyme-shaped. Direct ACS access returns a 403 on articles and supplements, so retrieval went through Europe PMC. Redone systematically as the seventh sweep below, which found a paper this pass missed.</t>
        </is>
      </c>
      <c r="C28" s="5" t="inlineStr">
        <is>
          <t>ACS Catal, ACS Cent Sci, ACS Synth Biol, JACS, Biochemistry, 2025, open access</t>
        </is>
      </c>
    </row>
    <row r="29">
      <c r="A29" s="5" t="inlineStr">
        <is>
          <t>Fifth sweep (PNAS)</t>
        </is>
      </c>
      <c r="B29" s="5" t="inlineStr">
        <is>
          <t>Two separate matches, then deduped: title-matched on protein/enzyme-engineering terms (30 hits) and abstract-matched on landscape/library terms ("fitness landscape", "combinatorial library", etc., 11 hits) -- 41 unique papers total.</t>
        </is>
      </c>
      <c r="C29" s="5" t="inlineStr">
        <is>
          <t>PNAS, 2025, open access</t>
        </is>
      </c>
    </row>
    <row r="30">
      <c r="A30" s="5" t="inlineStr">
        <is>
          <t>Sixth sweep (Cell Press)</t>
        </is>
      </c>
      <c r="B30" s="5" t="inlineStr">
        <is>
          <t>Title-matched across the full journal family (43 hits) -- almost entirely clinical-ML iScience papers with no connection to protein engineering, so no separate abstract pass was run.</t>
        </is>
      </c>
      <c r="C30" s="5" t="inlineStr">
        <is>
          <t>Cell, Mol Cell, Cell Chem Biol, Cell Systems, Structure, Cell Host &amp; Microbe, Immunity, Curr Biol, Chem, iScience, Cell Rep Methods, Cell Rep Phys Sci</t>
        </is>
      </c>
    </row>
    <row r="31">
      <c r="A31" s="5" t="inlineStr">
        <is>
          <t>Seventh sweep (ACS, redone)</t>
        </is>
      </c>
      <c r="B31" s="5" t="inlineStr">
        <is>
          <t>The fourth sweep redone as a real query for parity with the others: JOURNAL:(5 ACS titles) AND PUB_YEAR:2025 AND SRC:MED AND (deep mutational scanning OR site-saturation mutagenesis OR directed evolution OR variant effect map OR massively parallel mutagenesis OR enzyme engineering OR protein engineering, as quoted phrases) -- 237 hits, 234 unseen; all 234 abstracts pulled and keyword-scored for per-variant-table signals. Found Somvilla 2025, which the manual pass had missed.</t>
        </is>
      </c>
      <c r="C31" s="5" t="inlineStr">
        <is>
          <t>ACS Catal, ACS Cent Sci, ACS Synth Biol, JACS, Biochemistry, 2025</t>
        </is>
      </c>
    </row>
    <row r="32">
      <c r="A32" s="5" t="inlineStr">
        <is>
          <t>Directed-evolution sweep</t>
        </is>
      </c>
      <c r="B32" s="5" t="inlineStr">
        <is>
          <t>"directed evolution" / "site-saturation mutagenesis" / "laboratory evolution" / "yeast surface display"+"deep sequencing", explicitly excluding "deep mutational scanning" and "enzyme engineering" phrasing</t>
        </is>
      </c>
      <c r="C32" s="5" t="inlineStr">
        <is>
          <t>All publishers via Europe PMC, 2025, journals only (no bioRxiv)</t>
        </is>
      </c>
    </row>
    <row r="34" ht="45" customHeight="1">
      <c r="A34" s="8" t="inlineStr">
        <is>
          <t>See the 'Curated' tab for shipped datasets with variant counts, 'Rejected' for every paper chased to a documented reason, and 'Open (maybes)' for leads left for a future session. Full narrative detail, including access routes and per-sweep notes, is in candidates_2025.md on the 2025 branch.</t>
        </is>
      </c>
    </row>
  </sheetData>
  <mergeCells count="3">
    <mergeCell ref="A22:E22"/>
    <mergeCell ref="A1:E1"/>
    <mergeCell ref="A34:E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2" customWidth="1" min="2" max="2"/>
    <col width="7" customWidth="1" min="3" max="3"/>
    <col width="13" customWidth="1" min="4" max="4"/>
    <col width="45" customWidth="1" min="5" max="5"/>
    <col width="22" customWidth="1" min="6" max="6"/>
    <col width="16" customWidth="1" min="7" max="7"/>
    <col width="10" customWidth="1" min="8" max="8"/>
    <col width="12" customWidth="1" min="9" max="9"/>
    <col width="45" customWidth="1" min="10" max="10"/>
  </cols>
  <sheetData>
    <row r="1" ht="30" customHeight="1">
      <c r="A1" s="3" t="inlineStr">
        <is>
          <t>#</t>
        </is>
      </c>
      <c r="B1" s="3" t="inlineStr">
        <is>
          <t>First author</t>
        </is>
      </c>
      <c r="C1" s="3" t="inlineStr">
        <is>
          <t>Year</t>
        </is>
      </c>
      <c r="D1" s="3" t="inlineStr">
        <is>
          <t>Journal</t>
        </is>
      </c>
      <c r="E1" s="3" t="inlineStr">
        <is>
          <t>Title</t>
        </is>
      </c>
      <c r="F1" s="3" t="inlineStr">
        <is>
          <t>DOI</t>
        </is>
      </c>
      <c r="G1" s="3" t="inlineStr">
        <is>
          <t>Tree(s)</t>
        </is>
      </c>
      <c r="H1" s="3" t="inlineStr">
        <is>
          <t>Datasets shipped</t>
        </is>
      </c>
      <c r="I1" s="3" t="inlineStr">
        <is>
          <t>Total variants</t>
        </is>
      </c>
      <c r="J1" s="3" t="inlineStr">
        <is>
          <t>Protein(s) / notes</t>
        </is>
      </c>
    </row>
    <row r="2">
      <c r="A2" s="9" t="n">
        <v>1</v>
      </c>
      <c r="B2" s="9" t="inlineStr">
        <is>
          <t>Zhang</t>
        </is>
      </c>
      <c r="C2" s="9" t="n">
        <v>2025</v>
      </c>
      <c r="D2" s="9" t="inlineStr">
        <is>
          <t>Nat Commun</t>
        </is>
      </c>
      <c r="E2" s="9" t="inlineStr">
        <is>
          <t>Machine learning-guided evolution of pyrrolysyl-tRNA synthetase for improved incorporation efficiency of diverse noncanonical amino acids</t>
        </is>
      </c>
      <c r="F2" s="9" t="inlineStr">
        <is>
          <t>10.1038/s41467-025-61952-2</t>
        </is>
      </c>
      <c r="G2" s="9" t="inlineStr">
        <is>
          <t>datasets</t>
        </is>
      </c>
      <c r="H2" s="9" t="n">
        <v>1</v>
      </c>
      <c r="I2" s="9" t="n">
        <v>508</v>
      </c>
      <c r="J2" s="9" t="inlineStr">
        <is>
          <t>IFRS (PylRS variant); FFT-PLSR-guided rounds rebased onto one scale</t>
        </is>
      </c>
    </row>
    <row r="3">
      <c r="A3" s="9" t="n">
        <v>2</v>
      </c>
      <c r="B3" s="9" t="inlineStr">
        <is>
          <t>Huber</t>
        </is>
      </c>
      <c r="C3" s="9" t="n">
        <v>2025</v>
      </c>
      <c r="D3" s="9" t="inlineStr">
        <is>
          <t>Nat Commun</t>
        </is>
      </c>
      <c r="E3" s="9" t="inlineStr">
        <is>
          <t>Data-driven protease engineering by DNA-recording and epistasis-aware machine learning</t>
        </is>
      </c>
      <c r="F3" s="9" t="inlineStr">
        <is>
          <t>10.1038/s41467-025-60622-7</t>
        </is>
      </c>
      <c r="G3" s="9" t="inlineStr">
        <is>
          <t>datasets_virus</t>
        </is>
      </c>
      <c r="H3" s="9" t="n">
        <v>21</v>
      </c>
      <c r="I3" s="9" t="n">
        <v>268446</v>
      </c>
      <c r="J3" s="9" t="inlineStr">
        <is>
          <t>TEV protease (MLDEEP); one dataset per P1' substrate residue plus a full saturation scan</t>
        </is>
      </c>
    </row>
    <row r="4">
      <c r="A4" s="9" t="n">
        <v>3</v>
      </c>
      <c r="B4" s="9" t="inlineStr">
        <is>
          <t>Duan</t>
        </is>
      </c>
      <c r="C4" s="9" t="n">
        <v>2025</v>
      </c>
      <c r="D4" s="9" t="inlineStr">
        <is>
          <t>Nat Commun</t>
        </is>
      </c>
      <c r="E4" s="9" t="inlineStr">
        <is>
          <t>Widespread epistasis shapes RNA polymerase II active site function and evolution</t>
        </is>
      </c>
      <c r="F4" s="9" t="inlineStr">
        <is>
          <t>10.1038/s41467-025-63304-6</t>
        </is>
      </c>
      <c r="G4" s="9" t="inlineStr">
        <is>
          <t>datasets</t>
        </is>
      </c>
      <c r="H4" s="9" t="n">
        <v>9</v>
      </c>
      <c r="I4" s="9" t="n">
        <v>118603</v>
      </c>
      <c r="J4" s="9" t="inlineStr">
        <is>
          <t>RNA Pol II Rpb1 trigger loop, S. cerevisiae; growth fitness across selective conditions</t>
        </is>
      </c>
    </row>
    <row r="5">
      <c r="A5" s="9" t="n">
        <v>4</v>
      </c>
      <c r="B5" s="9" t="inlineStr">
        <is>
          <t>Landwehr</t>
        </is>
      </c>
      <c r="C5" s="9" t="n">
        <v>2025</v>
      </c>
      <c r="D5" s="9" t="inlineStr">
        <is>
          <t>Nat Commun</t>
        </is>
      </c>
      <c r="E5" s="9" t="inlineStr">
        <is>
          <t>Accelerated enzyme engineering by machine-learning guided cell-free expression</t>
        </is>
      </c>
      <c r="F5" s="9" t="inlineStr">
        <is>
          <t>10.1038/s41467-024-55399-0</t>
        </is>
      </c>
      <c r="G5" s="9" t="inlineStr">
        <is>
          <t>datasets</t>
        </is>
      </c>
      <c r="H5" s="9" t="n">
        <v>9</v>
      </c>
      <c r="I5" s="9" t="n">
        <v>10909</v>
      </c>
      <c r="J5" s="9" t="inlineStr">
        <is>
          <t>McbA amide synthetase; conversion of 9 pharmaceuticals</t>
        </is>
      </c>
    </row>
    <row r="6">
      <c r="A6" s="9" t="n">
        <v>5</v>
      </c>
      <c r="B6" s="9" t="inlineStr">
        <is>
          <t>Yang</t>
        </is>
      </c>
      <c r="C6" s="9" t="n">
        <v>2025</v>
      </c>
      <c r="D6" s="9" t="inlineStr">
        <is>
          <t>Nat Commun</t>
        </is>
      </c>
      <c r="E6" s="9" t="inlineStr">
        <is>
          <t>Active learning-assisted directed evolution</t>
        </is>
      </c>
      <c r="F6" s="9" t="inlineStr">
        <is>
          <t>10.1038/s41467-025-55987-8</t>
        </is>
      </c>
      <c r="G6" s="9" t="inlineStr">
        <is>
          <t>datasets</t>
        </is>
      </c>
      <c r="H6" s="9" t="n">
        <v>2</v>
      </c>
      <c r="I6" s="9" t="n">
        <v>790</v>
      </c>
      <c r="J6" s="9" t="inlineStr">
        <is>
          <t>ParLQ; diastereoselectivity and yield on a non-native cyclopropanation (ALDE)</t>
        </is>
      </c>
    </row>
    <row r="7">
      <c r="A7" s="9" t="n">
        <v>6</v>
      </c>
      <c r="B7" s="9" t="inlineStr">
        <is>
          <t>Singh</t>
        </is>
      </c>
      <c r="C7" s="9" t="n">
        <v>2025</v>
      </c>
      <c r="D7" s="9" t="inlineStr">
        <is>
          <t>Nat Commun</t>
        </is>
      </c>
      <c r="E7" s="9" t="inlineStr">
        <is>
          <t>A generalized platform for artificial intelligence-powered autonomous enzyme engineering</t>
        </is>
      </c>
      <c r="F7" s="9" t="inlineStr">
        <is>
          <t>10.1038/s41467-025-61209-y</t>
        </is>
      </c>
      <c r="G7" s="9" t="inlineStr">
        <is>
          <t>datasets</t>
        </is>
      </c>
      <c r="H7" s="9" t="n">
        <v>1</v>
      </c>
      <c r="I7" s="9" t="n">
        <v>176</v>
      </c>
      <c r="J7" s="9" t="inlineStr">
        <is>
          <t>AtHMT methyltransferase, substrate preference</t>
        </is>
      </c>
    </row>
    <row r="8">
      <c r="A8" s="9" t="n">
        <v>7</v>
      </c>
      <c r="B8" s="9" t="inlineStr">
        <is>
          <t>Zhang</t>
        </is>
      </c>
      <c r="C8" s="9" t="n">
        <v>2025</v>
      </c>
      <c r="D8" s="9" t="inlineStr">
        <is>
          <t>Nat Commun</t>
        </is>
      </c>
      <c r="E8" s="9" t="inlineStr">
        <is>
          <t>Integrating protein language models and automatic biofoundry for enhanced protein evolution</t>
        </is>
      </c>
      <c r="F8" s="9" t="inlineStr">
        <is>
          <t>10.1038/s41467-025-56751-8</t>
        </is>
      </c>
      <c r="G8" s="9" t="inlineStr">
        <is>
          <t>datasets</t>
        </is>
      </c>
      <c r="H8" s="9" t="n">
        <v>1</v>
      </c>
      <c r="I8" s="9" t="n">
        <v>384</v>
      </c>
      <c r="J8" s="9" t="inlineStr">
        <is>
          <t>pCNFRS tRNA synthetase; 4 rounds of ESM-2-nominated variants</t>
        </is>
      </c>
    </row>
    <row r="9">
      <c r="A9" s="9" t="n">
        <v>8</v>
      </c>
      <c r="B9" s="9" t="inlineStr">
        <is>
          <t>Silverstein</t>
        </is>
      </c>
      <c r="C9" s="9" t="n">
        <v>2025</v>
      </c>
      <c r="D9" s="9" t="inlineStr">
        <is>
          <t>Nature</t>
        </is>
      </c>
      <c r="E9" s="9" t="inlineStr">
        <is>
          <t>Custom CRISPR-Cas9 PAM variants via scalable engineering and machine learning</t>
        </is>
      </c>
      <c r="F9" s="9" t="inlineStr">
        <is>
          <t>10.1038/s41586-025-09021-y</t>
        </is>
      </c>
      <c r="G9" s="9" t="inlineStr">
        <is>
          <t>datasets</t>
        </is>
      </c>
      <c r="H9" s="9" t="n">
        <v>64</v>
      </c>
      <c r="I9" s="9" t="n">
        <v>68992</v>
      </c>
      <c r="J9" s="9" t="inlineStr">
        <is>
          <t>PAMmla; ~1,078 SpCas9 variants per dataset, PAM specificity</t>
        </is>
      </c>
    </row>
    <row r="10">
      <c r="A10" s="9" t="n">
        <v>9</v>
      </c>
      <c r="B10" s="9" t="inlineStr">
        <is>
          <t>Alamos</t>
        </is>
      </c>
      <c r="C10" s="9" t="n">
        <v>2025</v>
      </c>
      <c r="D10" s="9" t="inlineStr">
        <is>
          <t>Nat Biotechnol</t>
        </is>
      </c>
      <c r="E10" s="9" t="inlineStr">
        <is>
          <t>Multiplexed profiling of transcriptional regulators in plant cells</t>
        </is>
      </c>
      <c r="F10" s="9" t="inlineStr">
        <is>
          <t>10.1038/s41587-025-02880-w</t>
        </is>
      </c>
      <c r="G10" s="9" t="inlineStr">
        <is>
          <t>datasets</t>
        </is>
      </c>
      <c r="H10" s="9" t="n">
        <v>1</v>
      </c>
      <c r="I10" s="9" t="n">
        <v>243</v>
      </c>
      <c r="J10" s="9" t="inlineStr">
        <is>
          <t>CONSTANS activation domain (ENTRAP-seq); tile libraries out of scope, single-substitution table only</t>
        </is>
      </c>
    </row>
    <row r="11">
      <c r="A11" s="9" t="n">
        <v>10</v>
      </c>
      <c r="B11" s="9" t="inlineStr">
        <is>
          <t>Jiang</t>
        </is>
      </c>
      <c r="C11" s="9" t="n">
        <v>2024</v>
      </c>
      <c r="D11" s="9" t="inlineStr">
        <is>
          <t>Sci Adv</t>
        </is>
      </c>
      <c r="E11" s="9" t="inlineStr">
        <is>
          <t>A general temperature-guided language model to design proteins of enhanced stability and activity</t>
        </is>
      </c>
      <c r="F11" s="9" t="inlineStr">
        <is>
          <t>10.1126/sciadv.adr2641</t>
        </is>
      </c>
      <c r="G11" s="9" t="inlineStr">
        <is>
          <t>datasets + datasets_virus</t>
        </is>
      </c>
      <c r="H11" s="9" t="n">
        <v>6</v>
      </c>
      <c r="I11" s="9" t="n">
        <v>353</v>
      </c>
      <c r="J11" s="9" t="inlineStr">
        <is>
          <t>PRIME platform; Tgo-D4K polymerase, VHH nanobody, LbCas12a, creatinase, T7 RNA polymerase</t>
        </is>
      </c>
    </row>
    <row r="12">
      <c r="A12" s="9" t="n">
        <v>11</v>
      </c>
      <c r="B12" s="9" t="inlineStr">
        <is>
          <t>Estevam</t>
        </is>
      </c>
      <c r="C12" s="9" t="n">
        <v>2025</v>
      </c>
      <c r="D12" s="9" t="inlineStr">
        <is>
          <t>eLife</t>
        </is>
      </c>
      <c r="E12" s="9" t="inlineStr">
        <is>
          <t>Mapping kinase domain resistance mechanisms for the MET receptor tyrosine kinase via deep mutational scanning</t>
        </is>
      </c>
      <c r="F12" s="9" t="inlineStr">
        <is>
          <t>10.7554/eLife.101882</t>
        </is>
      </c>
      <c r="G12" s="9" t="inlineStr">
        <is>
          <t>datasets_human</t>
        </is>
      </c>
      <c r="H12" s="9" t="n">
        <v>12</v>
      </c>
      <c r="I12" s="9" t="n">
        <v>44889</v>
      </c>
      <c r="J12" s="9" t="inlineStr">
        <is>
          <t>MET kinase domain; one dataset per inhibitor plus DMSO control</t>
        </is>
      </c>
    </row>
    <row r="13">
      <c r="A13" s="9" t="n">
        <v>12</v>
      </c>
      <c r="B13" s="9" t="inlineStr">
        <is>
          <t>Jiang</t>
        </is>
      </c>
      <c r="C13" s="9" t="n">
        <v>2025</v>
      </c>
      <c r="D13" s="9" t="inlineStr">
        <is>
          <t>Nat Commun</t>
        </is>
      </c>
      <c r="E13" s="9" t="inlineStr">
        <is>
          <t>Deep mutational scanning of the multi-domain phosphatase SHP2 reveals mechanisms of regulation and pathogenicity</t>
        </is>
      </c>
      <c r="F13" s="9" t="inlineStr">
        <is>
          <t>10.1038/s41467-025-60641-4</t>
        </is>
      </c>
      <c r="G13" s="9" t="inlineStr">
        <is>
          <t>datasets_human</t>
        </is>
      </c>
      <c r="H13" s="9" t="n">
        <v>2</v>
      </c>
      <c r="I13" s="9" t="n">
        <v>16181</v>
      </c>
      <c r="J13" s="9" t="inlineStr">
        <is>
          <t>SHP2 full-length and isolated PTP domain; yeast growth-rescue enrichment</t>
        </is>
      </c>
    </row>
    <row r="14">
      <c r="A14" s="9" t="n">
        <v>13</v>
      </c>
      <c r="B14" s="9" t="inlineStr">
        <is>
          <t>Wysocki</t>
        </is>
      </c>
      <c r="C14" s="9" t="n">
        <v>2026</v>
      </c>
      <c r="D14" s="9" t="inlineStr">
        <is>
          <t>ACS Synth Biol</t>
        </is>
      </c>
      <c r="E14" s="9" t="inlineStr">
        <is>
          <t>High-Throughput Detection of Cyanobacterial Form I Rubisco Assembly</t>
        </is>
      </c>
      <c r="F14" s="9" t="inlineStr">
        <is>
          <t>10.1021/acssynbio.5c00591</t>
        </is>
      </c>
      <c r="G14" s="9" t="inlineStr">
        <is>
          <t>datasets</t>
        </is>
      </c>
      <c r="H14" s="9" t="n">
        <v>2</v>
      </c>
      <c r="I14" s="9" t="n">
        <v>13216</v>
      </c>
      <c r="J14" s="9" t="inlineStr">
        <is>
          <t>RbcL (H. neapolitanus); phage-selection site-saturation, with/without GroELS</t>
        </is>
      </c>
    </row>
    <row r="15">
      <c r="A15" s="9" t="n">
        <v>14</v>
      </c>
      <c r="B15" s="9" t="inlineStr">
        <is>
          <t>Thornton</t>
        </is>
      </c>
      <c r="C15" s="9" t="n">
        <v>2025</v>
      </c>
      <c r="D15" s="9" t="inlineStr">
        <is>
          <t>ACS Synth Biol</t>
        </is>
      </c>
      <c r="E15" s="9" t="inlineStr">
        <is>
          <t>Cell-Free Protein Synthesis as a Method to Rapidly Screen Machine Learning-Generated Protease Variants</t>
        </is>
      </c>
      <c r="F15" s="9" t="inlineStr">
        <is>
          <t>10.1021/acssynbio.5c00062</t>
        </is>
      </c>
      <c r="G15" s="9" t="inlineStr">
        <is>
          <t>datasets_virus</t>
        </is>
      </c>
      <c r="H15" s="9" t="n">
        <v>2</v>
      </c>
      <c r="I15" s="9" t="n">
        <v>96</v>
      </c>
      <c r="J15" s="9" t="inlineStr">
        <is>
          <t>Con1, a designed consensus potyviral protease; region A and B site-saturation</t>
        </is>
      </c>
    </row>
    <row r="16">
      <c r="A16" s="9" t="n">
        <v>15</v>
      </c>
      <c r="B16" s="9" t="inlineStr">
        <is>
          <t>Teo</t>
        </is>
      </c>
      <c r="C16" s="9" t="n">
        <v>2025</v>
      </c>
      <c r="D16" s="9" t="inlineStr">
        <is>
          <t>Cell Rep</t>
        </is>
      </c>
      <c r="E16" s="9" t="inlineStr">
        <is>
          <t>Probing the functional constraints of influenza A virus NEP by deep mutational scanning</t>
        </is>
      </c>
      <c r="F16" s="9" t="inlineStr">
        <is>
          <t>10.1016/j.celrep.2024.115196</t>
        </is>
      </c>
      <c r="G16" s="9" t="inlineStr">
        <is>
          <t>datasets_virus</t>
        </is>
      </c>
      <c r="H16" s="9" t="n">
        <v>1</v>
      </c>
      <c r="I16" s="9" t="n">
        <v>1894</v>
      </c>
      <c r="J16" s="9" t="inlineStr">
        <is>
          <t>Influenza A NEP, A/WSN/1933 strain; found via title sweep, data was on Zenodo not in the article supplement</t>
        </is>
      </c>
    </row>
    <row r="17">
      <c r="A17" s="9" t="n">
        <v>16</v>
      </c>
      <c r="B17" s="9" t="inlineStr">
        <is>
          <t>Wong</t>
        </is>
      </c>
      <c r="C17" s="9" t="n">
        <v>2025</v>
      </c>
      <c r="D17" s="9" t="inlineStr">
        <is>
          <t>Nat Commun</t>
        </is>
      </c>
      <c r="E17" s="9" t="inlineStr">
        <is>
          <t>Characterizing and engineering post-translational modifications with high-throughput cell-free expression</t>
        </is>
      </c>
      <c r="F17" s="9" t="inlineStr">
        <is>
          <t>10.1038/s41467-025-60526-6</t>
        </is>
      </c>
      <c r="G17" s="9" t="inlineStr">
        <is>
          <t>datasets</t>
        </is>
      </c>
      <c r="H17" s="9" t="n">
        <v>1</v>
      </c>
      <c r="I17" s="9" t="n">
        <v>285</v>
      </c>
      <c r="J17" s="9" t="inlineStr">
        <is>
          <t>CjPglB oligosaccharyltransferase; 15-position site-saturation, AlphaLISA glycosylation signal</t>
        </is>
      </c>
    </row>
    <row r="18">
      <c r="A18" s="9" t="n">
        <v>17</v>
      </c>
      <c r="B18" s="9" t="inlineStr">
        <is>
          <t>Somvilla</t>
        </is>
      </c>
      <c r="C18" s="9" t="n">
        <v>2025</v>
      </c>
      <c r="D18" s="9" t="inlineStr">
        <is>
          <t>ACS Catalysis</t>
        </is>
      </c>
      <c r="E18" s="9" t="inlineStr">
        <is>
          <t>Ultrahigh-Throughput Activity Engineering of Promiscuous Amidases through a Fluorescence-Activated Cell Sorting Assay</t>
        </is>
      </c>
      <c r="F18" s="9" t="inlineStr">
        <is>
          <t>10.1021/acscatal.5c01903</t>
        </is>
      </c>
      <c r="G18" s="9" t="inlineStr">
        <is>
          <t>datasets</t>
        </is>
      </c>
      <c r="H18" s="9" t="n">
        <v>8</v>
      </c>
      <c r="I18" s="9" t="n">
        <v>160</v>
      </c>
      <c r="J18" s="9" t="inlineStr">
        <is>
          <t>SaAmd amidase (Sphingomonas alpina); one dataset per substrate across 8 amide/ester/carbamate substrates</t>
        </is>
      </c>
    </row>
    <row r="19">
      <c r="A19" s="10" t="inlineStr">
        <is>
          <t>TOTAL</t>
        </is>
      </c>
      <c r="B19" s="4" t="n"/>
      <c r="C19" s="4" t="n"/>
      <c r="D19" s="4" t="n"/>
      <c r="E19" s="4" t="n"/>
      <c r="F19" s="4" t="n"/>
      <c r="G19" s="4" t="n"/>
      <c r="H19" s="10">
        <f>SUM(H2:H18)</f>
        <v/>
      </c>
      <c r="I19" s="10">
        <f>SUM(I2:I18)</f>
        <v/>
      </c>
      <c r="J19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22" customWidth="1" min="3" max="3"/>
    <col width="26" customWidth="1" min="4" max="4"/>
    <col width="70" customWidth="1" min="5" max="5"/>
  </cols>
  <sheetData>
    <row r="1" ht="30" customHeight="1">
      <c r="A1" s="3" t="inlineStr">
        <is>
          <t>#</t>
        </is>
      </c>
      <c r="B1" s="3" t="inlineStr">
        <is>
          <t>Paper (short label)</t>
        </is>
      </c>
      <c r="C1" s="3" t="inlineStr">
        <is>
          <t>DOI</t>
        </is>
      </c>
      <c r="D1" s="3" t="inlineStr">
        <is>
          <t>Sweep</t>
        </is>
      </c>
      <c r="E1" s="3" t="inlineStr">
        <is>
          <t>Reason rejected</t>
        </is>
      </c>
    </row>
    <row r="2">
      <c r="A2" s="11" t="n">
        <v>1</v>
      </c>
      <c r="B2" s="11" t="inlineStr">
        <is>
          <t>iCASE 2025, thermostability/activity tailoring</t>
        </is>
      </c>
      <c r="C2" s="11" t="inlineStr">
        <is>
          <t>10.1038/s41467-025-55944-5</t>
        </is>
      </c>
      <c r="D2" s="11" t="inlineStr">
        <is>
          <t>Second sweep</t>
        </is>
      </c>
      <c r="E2" s="11" t="inlineStr">
        <is>
          <t>No work item reaches the 20-variant floor. 63-sheet Source Data workbook; every sheet with mutant labels holds at most 16 rows; the large sheets are simulation output (DSI, compressibility, binding free energy), not experimental measurement.</t>
        </is>
      </c>
    </row>
    <row r="3">
      <c r="A3" s="11" t="n">
        <v>2</v>
      </c>
      <c r="B3" s="11" t="inlineStr">
        <is>
          <t>Artificial metathase (de novo + directed evolution)</t>
        </is>
      </c>
      <c r="C3" s="11" t="inlineStr">
        <is>
          <t>10.1038/s41929-025-01436-0</t>
        </is>
      </c>
      <c r="D3" s="11" t="inlineStr">
        <is>
          <t>Second sweep</t>
        </is>
      </c>
      <c r="E3" s="11" t="inlineStr">
        <is>
          <t>No variant table. One spreadsheet per figure, 4-38 rows each of kinetics/titration data, none a per-variant list.</t>
        </is>
      </c>
    </row>
    <row r="4">
      <c r="A4" s="11" t="n">
        <v>3</v>
      </c>
      <c r="B4" s="11" t="inlineStr">
        <is>
          <t>Kemp eliminase distal mutations (3 de novo enzymes)</t>
        </is>
      </c>
      <c r="C4" s="11" t="inlineStr">
        <is>
          <t>10.1038/s41467-025-63802-7</t>
        </is>
      </c>
      <c r="D4" s="11" t="inlineStr">
        <is>
          <t>Second sweep</t>
        </is>
      </c>
      <c r="E4" s="11" t="inlineStr">
        <is>
          <t>No variant table. Four sheets of kinetic traces / stopped-flow raw data, no mutant-labelled block.</t>
        </is>
      </c>
    </row>
    <row r="5">
      <c r="A5" s="11" t="n">
        <v>4</v>
      </c>
      <c r="B5" s="11" t="inlineStr">
        <is>
          <t>ML prediction-tool papers evaluated on others' data (CatPred, CataPro, TopEC, PreMode, DeepMVP, ABACUS-T, LassoESM, cross-attention specificity GNN, biophysics-based PLMs)</t>
        </is>
      </c>
      <c r="C5" s="11" t="inlineStr">
        <is>
          <t>(various, not individually recorded)</t>
        </is>
      </c>
      <c r="D5" s="11" t="inlineStr">
        <is>
          <t>Second sweep</t>
        </is>
      </c>
      <c r="E5" s="11" t="inlineStr">
        <is>
          <t>Phase 1 exclusion: a dataset a paper merely evaluates on belongs to whoever measured it, not to the modeling paper.</t>
        </is>
      </c>
    </row>
    <row r="6">
      <c r="A6" s="11" t="n">
        <v>5</v>
      </c>
      <c r="B6" s="11" t="inlineStr">
        <is>
          <t>AI-designed base/prime editors</t>
        </is>
      </c>
      <c r="C6" s="11" t="inlineStr">
        <is>
          <t>10.1038/s41586-025-09298-z</t>
        </is>
      </c>
      <c r="D6" s="11" t="inlineStr">
        <is>
          <t>Second sweep</t>
        </is>
      </c>
      <c r="E6" s="11" t="inlineStr">
        <is>
          <t>AI-designed editors are not variants of one wild type.</t>
        </is>
      </c>
    </row>
    <row r="7">
      <c r="A7" s="11" t="n">
        <v>6</v>
      </c>
      <c r="B7" s="11" t="inlineStr">
        <is>
          <t>Reviews/perspectives bundle (ML applied to biocatalysis, PET hydrolase standardisation guidelines, C1 utilisation)</t>
        </is>
      </c>
      <c r="C7" s="11" t="inlineStr">
        <is>
          <t>(not recorded)</t>
        </is>
      </c>
      <c r="D7" s="11" t="inlineStr">
        <is>
          <t>Second sweep</t>
        </is>
      </c>
      <c r="E7" s="11" t="inlineStr">
        <is>
          <t>Reviews, not primary measurement papers.</t>
        </is>
      </c>
    </row>
    <row r="8">
      <c r="A8" s="11" t="n">
        <v>7</v>
      </c>
      <c r="B8" s="11" t="inlineStr">
        <is>
          <t>DMS in E. coli periplasm (human A-beta-42 amyloid propensity)</t>
        </is>
      </c>
      <c r="C8" s="11" t="inlineStr">
        <is>
          <t>10.1073/pnas.2516165122</t>
        </is>
      </c>
      <c r="D8" s="11" t="inlineStr">
        <is>
          <t>Third sweep</t>
        </is>
      </c>
      <c r="E8" s="11" t="inlineStr">
        <is>
          <t>Assay host is bacterial but the protein is human (A-beta-42); readout is aggregation propensity via a bacterial reporter, not enzyme fitness. Deprioritized to datasets_human/ scope, not chased further.</t>
        </is>
      </c>
    </row>
    <row r="9">
      <c r="A9" s="11" t="n">
        <v>8</v>
      </c>
      <c r="B9" s="11" t="inlineStr">
        <is>
          <t>Reshaping a glycoside hydrolase active site (330,000-clone droplet sort)</t>
        </is>
      </c>
      <c r="C9" s="11" t="inlineStr">
        <is>
          <t>10.1021/acscentsci.5c01227</t>
        </is>
      </c>
      <c r="D9" s="11" t="inlineStr">
        <is>
          <t>Third sweep</t>
        </is>
      </c>
      <c r="E9" s="11" t="inlineStr">
        <is>
          <t>Only a handful of named winners (M1, M2, ...) individually characterised; no systematic per-variant table in the paper or its PDF-only supplement.</t>
        </is>
      </c>
    </row>
    <row r="10">
      <c r="A10" s="11" t="n">
        <v>9</v>
      </c>
      <c r="B10" s="11" t="inlineStr">
        <is>
          <t>Deep Mutational Scanning of FDX1</t>
        </is>
      </c>
      <c r="C10" s="11" t="inlineStr">
        <is>
          <t>10.1038/s41467-025-67869-0</t>
        </is>
      </c>
      <c r="D10" s="11" t="inlineStr">
        <is>
          <t>Third sweep</t>
        </is>
      </c>
      <c r="E10" s="11" t="inlineStr">
        <is>
          <t>FigShare deposit holds only raw Enrich2-style per-sample counts (2.1 GB), not scores. Source Data has only anonymized score distributions and position-averaged values, no per-variant readout.</t>
        </is>
      </c>
    </row>
    <row r="11">
      <c r="A11" s="11" t="n">
        <v>10</v>
      </c>
      <c r="B11" s="11" t="inlineStr">
        <is>
          <t>EGFR resistance to 4th-generation TKIs</t>
        </is>
      </c>
      <c r="C11" s="11" t="inlineStr">
        <is>
          <t>10.1038/s41698-025-01086-2</t>
        </is>
      </c>
      <c r="D11" s="11" t="inlineStr">
        <is>
          <t>Third sweep</t>
        </is>
      </c>
      <c r="E11" s="11" t="inlineStr">
        <is>
          <t>Same experimental shape as the curated MET paper, but no GitHub deposit. Data availability names only raw GEO reads; the PDF-only supplement holds FEP calculations for a handful of representative isoforms, not a per-variant table.</t>
        </is>
      </c>
    </row>
    <row r="12">
      <c r="A12" s="11" t="n">
        <v>11</v>
      </c>
      <c r="B12" s="11" t="inlineStr">
        <is>
          <t>Glucokinase variant characterization</t>
        </is>
      </c>
      <c r="C12" s="11" t="inlineStr">
        <is>
          <t>10.3390/ijms27010156</t>
        </is>
      </c>
      <c r="D12" s="11" t="inlineStr">
        <is>
          <t>Third sweep</t>
        </is>
      </c>
      <c r="E12" s="11" t="inlineStr">
        <is>
          <t>25 individually chosen clinical variants, well under the floor; not a saturation library.</t>
        </is>
      </c>
    </row>
    <row r="13">
      <c r="A13" s="11" t="n">
        <v>12</v>
      </c>
      <c r="B13" s="11" t="inlineStr">
        <is>
          <t>Directed evolution of a beta-lactamase (conformational states)</t>
        </is>
      </c>
      <c r="C13" s="11" t="inlineStr">
        <is>
          <t>10.1002/pro.70322</t>
        </is>
      </c>
      <c r="D13" s="11" t="inlineStr">
        <is>
          <t>Third sweep</t>
        </is>
      </c>
      <c r="E13" s="11" t="inlineStr">
        <is>
          <t>3 successive mutants + WT, well under the floor.</t>
        </is>
      </c>
    </row>
    <row r="14">
      <c r="A14" s="11" t="n">
        <v>13</v>
      </c>
      <c r="B14" s="11" t="inlineStr">
        <is>
          <t>Deep structure-function analysis of Mus81 (dominant mutational scanning)</t>
        </is>
      </c>
      <c r="C14" s="11" t="inlineStr">
        <is>
          <t>10.1073/pnas.2506043122</t>
        </is>
      </c>
      <c r="D14" s="11" t="inlineStr">
        <is>
          <t>Third sweep</t>
        </is>
      </c>
      <c r="E14" s="11" t="inlineStr">
        <is>
          <t>Deposited data is a binary Y/N hit classification (dominant / fails-to-complement), not a quantitative per-variant score; graded growth-sensitivity data not deposited.</t>
        </is>
      </c>
    </row>
    <row r="15">
      <c r="A15" s="11" t="n">
        <v>14</v>
      </c>
      <c r="B15" s="11" t="inlineStr">
        <is>
          <t>Pyranose oxidase oligomerization engineering</t>
        </is>
      </c>
      <c r="C15" s="11" t="inlineStr">
        <is>
          <t>10.1111/febs.70004</t>
        </is>
      </c>
      <c r="D15" s="11" t="inlineStr">
        <is>
          <t>Third sweep</t>
        </is>
      </c>
      <c r="E15" s="11" t="inlineStr">
        <is>
          <t>Zenodo deposit is models/docking scores only; experimental data available upon request.</t>
        </is>
      </c>
    </row>
    <row r="16">
      <c r="A16" s="11" t="n">
        <v>15</v>
      </c>
      <c r="B16" s="11" t="inlineStr">
        <is>
          <t>Isophthalate dioxygenase engineering</t>
        </is>
      </c>
      <c r="C16" s="11" t="inlineStr">
        <is>
          <t>10.1128/jb.00221-25</t>
        </is>
      </c>
      <c r="D16" s="11" t="inlineStr">
        <is>
          <t>Third sweep</t>
        </is>
      </c>
      <c r="E16" s="11" t="inlineStr">
        <is>
          <t>No data-availability statement found.</t>
        </is>
      </c>
    </row>
    <row r="17">
      <c r="A17" s="11" t="n">
        <v>16</v>
      </c>
      <c r="B17" s="11" t="inlineStr">
        <is>
          <t>Confocal absorbance-activated droplet sorting (cAADS)</t>
        </is>
      </c>
      <c r="C17" s="11" t="inlineStr">
        <is>
          <t>10.1002/advs.202505324</t>
        </is>
      </c>
      <c r="D17" s="11" t="inlineStr">
        <is>
          <t>Third sweep</t>
        </is>
      </c>
      <c r="E17" s="11" t="inlineStr">
        <is>
          <t>Data available from the corresponding author upon reasonable request.</t>
        </is>
      </c>
    </row>
    <row r="18">
      <c r="A18" s="11" t="n">
        <v>17</v>
      </c>
      <c r="B18" s="11" t="inlineStr">
        <is>
          <t>Directed evolution of a plant Rubisco chaperone</t>
        </is>
      </c>
      <c r="C18" s="11" t="inlineStr">
        <is>
          <t>10.1073/pnas.2510701122</t>
        </is>
      </c>
      <c r="D18" s="11" t="inlineStr">
        <is>
          <t>Third + fifth sweep</t>
        </is>
      </c>
      <c r="E18" s="11" t="inlineStr">
        <is>
          <t>PDF-only SI; text says 'selected' variants, not a full library table.</t>
        </is>
      </c>
    </row>
    <row r="19">
      <c r="A19" s="11" t="n">
        <v>18</v>
      </c>
      <c r="B19" s="11" t="inlineStr">
        <is>
          <t>In vivo directed evolution of an ultrafast Rubisco</t>
        </is>
      </c>
      <c r="C19" s="11" t="inlineStr">
        <is>
          <t>10.1073/pnas.2505083122</t>
        </is>
      </c>
      <c r="D19" s="11" t="inlineStr">
        <is>
          <t>Third + fifth sweep</t>
        </is>
      </c>
      <c r="E19" s="11" t="inlineStr">
        <is>
          <t>Kinetic characterisation covers only ~7 named substitutions; the 292-row dataset is population allele-frequency trajectories per locus across evolution rounds, not per-clone genotype-fitness pairs.</t>
        </is>
      </c>
    </row>
    <row r="20">
      <c r="A20" s="11" t="n">
        <v>19</v>
      </c>
      <c r="B20" s="11" t="inlineStr">
        <is>
          <t>Directed evolution of a covalent RNA-labeling tag</t>
        </is>
      </c>
      <c r="C20" s="11" t="inlineStr">
        <is>
          <t>10.1073/pnas.2422085122</t>
        </is>
      </c>
      <c r="D20" s="11" t="inlineStr">
        <is>
          <t>Third + fifth sweep</t>
        </is>
      </c>
      <c r="E20" s="11" t="inlineStr">
        <is>
          <t>PDF-only SI.</t>
        </is>
      </c>
    </row>
    <row r="21">
      <c r="A21" s="11" t="n">
        <v>20</v>
      </c>
      <c r="B21" s="11" t="inlineStr">
        <is>
          <t>Nanobody-antigen interface optimisation</t>
        </is>
      </c>
      <c r="C21" s="11" t="inlineStr">
        <is>
          <t>10.1073/pnas.2426438122</t>
        </is>
      </c>
      <c r="D21" s="11" t="inlineStr">
        <is>
          <t>Third + fifth sweep</t>
        </is>
      </c>
      <c r="E21" s="11" t="inlineStr">
        <is>
          <t>PDF-only SI; phage display down to a small validated set.</t>
        </is>
      </c>
    </row>
    <row r="22">
      <c r="A22" s="11" t="n">
        <v>21</v>
      </c>
      <c r="B22" s="11" t="inlineStr">
        <is>
          <t>PET hydrolases from natural diversity</t>
        </is>
      </c>
      <c r="C22" s="11" t="inlineStr">
        <is>
          <t>(not recorded)</t>
        </is>
      </c>
      <c r="D22" s="11" t="inlineStr">
        <is>
          <t>Fourth sweep (ACS)</t>
        </is>
      </c>
      <c r="E22" s="11" t="inlineStr">
        <is>
          <t>Homolog panel of ~400 distinct natural sequences, no shared wild type.</t>
        </is>
      </c>
    </row>
    <row r="23">
      <c r="A23" s="11" t="n">
        <v>22</v>
      </c>
      <c r="B23" s="11" t="inlineStr">
        <is>
          <t>KdcA directed evolution</t>
        </is>
      </c>
      <c r="C23" s="11" t="inlineStr">
        <is>
          <t>(not recorded)</t>
        </is>
      </c>
      <c r="D23" s="11" t="inlineStr">
        <is>
          <t>Fourth sweep (ACS)</t>
        </is>
      </c>
      <c r="E23" s="11" t="inlineStr">
        <is>
          <t>PDF-only supplement; text names one 8-substitution final variant, not a library table.</t>
        </is>
      </c>
    </row>
    <row r="24">
      <c r="A24" s="11" t="n">
        <v>23</v>
      </c>
      <c r="B24" s="11" t="inlineStr">
        <is>
          <t>DyP peroxidase thermostability</t>
        </is>
      </c>
      <c r="C24" s="11" t="inlineStr">
        <is>
          <t>(not recorded)</t>
        </is>
      </c>
      <c r="D24" s="11" t="inlineStr">
        <is>
          <t>Fourth sweep (ACS)</t>
        </is>
      </c>
      <c r="E24" s="11" t="inlineStr">
        <is>
          <t>PDF-only supplement, a handful of designed variants.</t>
        </is>
      </c>
    </row>
    <row r="25">
      <c r="A25" s="11" t="n">
        <v>24</v>
      </c>
      <c r="B25" s="11" t="inlineStr">
        <is>
          <t>SPOT metallopeptide library</t>
        </is>
      </c>
      <c r="C25" s="11" t="inlineStr">
        <is>
          <t>(not recorded)</t>
        </is>
      </c>
      <c r="D25" s="11" t="inlineStr">
        <is>
          <t>Fourth sweep (ACS)</t>
        </is>
      </c>
      <c r="E25" s="11" t="inlineStr">
        <is>
          <t>PDF-only supplement, small named set.</t>
        </is>
      </c>
    </row>
    <row r="26">
      <c r="A26" s="11" t="n">
        <v>25</v>
      </c>
      <c r="B26" s="11" t="inlineStr">
        <is>
          <t>F. rodentium Cas9 (structural/cryo-EM)</t>
        </is>
      </c>
      <c r="C26" s="11" t="inlineStr">
        <is>
          <t>(not recorded)</t>
        </is>
      </c>
      <c r="D26" s="11" t="inlineStr">
        <is>
          <t>Sixth sweep (Cell Press)</t>
        </is>
      </c>
      <c r="E26" s="11" t="inlineStr">
        <is>
          <t>Not chased further -- likely a handful of validated point mutants, no data-availability statement found.</t>
        </is>
      </c>
    </row>
    <row r="27">
      <c r="A27" s="11" t="n">
        <v>26</v>
      </c>
      <c r="B27" s="11" t="inlineStr">
        <is>
          <t>ODM protein-design pipeline</t>
        </is>
      </c>
      <c r="C27" s="11" t="inlineStr">
        <is>
          <t>(not recorded)</t>
        </is>
      </c>
      <c r="D27" s="11" t="inlineStr">
        <is>
          <t>Sixth sweep (Cell Press)</t>
        </is>
      </c>
      <c r="E27" s="11" t="inlineStr">
        <is>
          <t>Not chased further -- generative-model paper, likely benchmarks on public data (Phase 1 evaluated-on exclusion).</t>
        </is>
      </c>
    </row>
    <row r="28">
      <c r="A28" s="11" t="n">
        <v>27</v>
      </c>
      <c r="B28" s="11" t="inlineStr">
        <is>
          <t>Chen 2025, Cas12a variant profiling</t>
        </is>
      </c>
      <c r="C28" s="11" t="inlineStr">
        <is>
          <t>10.1038/s41467-025-57150-9</t>
        </is>
      </c>
      <c r="D28" s="11" t="inlineStr">
        <is>
          <t>Rejected list (early sweeps)</t>
        </is>
      </c>
      <c r="E28" s="11" t="inlineStr">
        <is>
          <t>'Variants' are 24 orthologs, and activity varies per target sequence, not per protein substitution -- no single wild-type to normalise against.</t>
        </is>
      </c>
    </row>
    <row r="29">
      <c r="A29" s="11" t="n">
        <v>28</v>
      </c>
      <c r="B29" s="11" t="inlineStr">
        <is>
          <t>Zhu 2025, DropAI droplet screening</t>
        </is>
      </c>
      <c r="C29" s="11" t="inlineStr">
        <is>
          <t>10.1038/s41467-025-58139-0</t>
        </is>
      </c>
      <c r="D29" s="11" t="inlineStr">
        <is>
          <t>Rejected list (early sweeps)</t>
        </is>
      </c>
      <c r="E29" s="11" t="inlineStr">
        <is>
          <t>ML optimises the cell-free reaction composition, not protein sequence.</t>
        </is>
      </c>
    </row>
    <row r="30">
      <c r="A30" s="11" t="n">
        <v>29</v>
      </c>
      <c r="B30" s="11" t="inlineStr">
        <is>
          <t>m6A-IIN modification-site prediction</t>
        </is>
      </c>
      <c r="C30" s="11" t="inlineStr">
        <is>
          <t>10.1038/s42003-025-08265-8</t>
        </is>
      </c>
      <c r="D30" s="11" t="inlineStr">
        <is>
          <t>Rejected list (early sweeps)</t>
        </is>
      </c>
      <c r="E30" s="11" t="inlineStr">
        <is>
          <t>RNA modification sites, no protein variants.</t>
        </is>
      </c>
    </row>
    <row r="31">
      <c r="A31" s="11" t="n">
        <v>30</v>
      </c>
      <c r="B31" s="11" t="inlineStr">
        <is>
          <t>Nanozymes review</t>
        </is>
      </c>
      <c r="C31" s="11" t="inlineStr">
        <is>
          <t>10.1038/s41467-025-62063-8</t>
        </is>
      </c>
      <c r="D31" s="11" t="inlineStr">
        <is>
          <t>Rejected list (early sweeps)</t>
        </is>
      </c>
      <c r="E31" s="11" t="inlineStr">
        <is>
          <t>Review.</t>
        </is>
      </c>
    </row>
    <row r="32">
      <c r="A32" s="11" t="n">
        <v>31</v>
      </c>
      <c r="B32" s="11" t="inlineStr">
        <is>
          <t>CRISPR-Cas in agriculture</t>
        </is>
      </c>
      <c r="C32" s="11" t="inlineStr">
        <is>
          <t>10.1038/s41580-025-00834-3</t>
        </is>
      </c>
      <c r="D32" s="11" t="inlineStr">
        <is>
          <t>Rejected list (early sweeps)</t>
        </is>
      </c>
      <c r="E32" s="11" t="inlineStr">
        <is>
          <t>Review.</t>
        </is>
      </c>
    </row>
    <row r="33">
      <c r="A33" s="11" t="n">
        <v>32</v>
      </c>
      <c r="B33" s="11" t="inlineStr">
        <is>
          <t>CRISPR single-nucleotide diagnostics</t>
        </is>
      </c>
      <c r="C33" s="11" t="inlineStr">
        <is>
          <t>10.1038/s43856-025-00933-4</t>
        </is>
      </c>
      <c r="D33" s="11" t="inlineStr">
        <is>
          <t>Rejected list (early sweeps)</t>
        </is>
      </c>
      <c r="E33" s="11" t="inlineStr">
        <is>
          <t>Review.</t>
        </is>
      </c>
    </row>
    <row r="34">
      <c r="A34" s="11" t="n">
        <v>33</v>
      </c>
      <c r="B34" s="11" t="inlineStr">
        <is>
          <t>One-carbon biochemicals</t>
        </is>
      </c>
      <c r="C34" s="11" t="inlineStr">
        <is>
          <t>10.1038/s44160-025-00835-2</t>
        </is>
      </c>
      <c r="D34" s="11" t="inlineStr">
        <is>
          <t>Rejected list (early sweeps)</t>
        </is>
      </c>
      <c r="E34" s="11" t="inlineStr">
        <is>
          <t>Review.</t>
        </is>
      </c>
    </row>
    <row r="35">
      <c r="A35" s="11" t="n">
        <v>34</v>
      </c>
      <c r="B35" s="11" t="inlineStr">
        <is>
          <t>Antimicrobial peptides</t>
        </is>
      </c>
      <c r="C35" s="11" t="inlineStr">
        <is>
          <t>10.1038/s41579-025-01200-y</t>
        </is>
      </c>
      <c r="D35" s="11" t="inlineStr">
        <is>
          <t>Rejected list (early sweeps)</t>
        </is>
      </c>
      <c r="E35" s="11" t="inlineStr">
        <is>
          <t>Review.</t>
        </is>
      </c>
    </row>
    <row r="36">
      <c r="A36" s="11" t="n">
        <v>35</v>
      </c>
      <c r="B36" s="11" t="inlineStr">
        <is>
          <t>Protein folding and proteostasis</t>
        </is>
      </c>
      <c r="C36" s="11" t="inlineStr">
        <is>
          <t>10.1038/s41392-025-02439-w</t>
        </is>
      </c>
      <c r="D36" s="11" t="inlineStr">
        <is>
          <t>Rejected list (early sweeps)</t>
        </is>
      </c>
      <c r="E36" s="11" t="inlineStr">
        <is>
          <t>Review.</t>
        </is>
      </c>
    </row>
    <row r="37">
      <c r="A37" s="11" t="n">
        <v>36</v>
      </c>
      <c r="B37" s="11" t="inlineStr">
        <is>
          <t>Non-CG DNA methylation</t>
        </is>
      </c>
      <c r="C37" s="11" t="inlineStr">
        <is>
          <t>10.1038/s41588-025-02303-1</t>
        </is>
      </c>
      <c r="D37" s="11" t="inlineStr">
        <is>
          <t>Rejected list (early sweeps)</t>
        </is>
      </c>
      <c r="E37" s="11" t="inlineStr">
        <is>
          <t>Review.</t>
        </is>
      </c>
    </row>
    <row r="38">
      <c r="A38" s="11" t="n">
        <v>37</v>
      </c>
      <c r="B38" s="11" t="inlineStr">
        <is>
          <t>Antibacterial preclinical pipeline</t>
        </is>
      </c>
      <c r="C38" s="11" t="inlineStr">
        <is>
          <t>10.1038/s41579-025-01167-w</t>
        </is>
      </c>
      <c r="D38" s="11" t="inlineStr">
        <is>
          <t>Rejected list (early sweeps)</t>
        </is>
      </c>
      <c r="E38" s="11" t="inlineStr">
        <is>
          <t>Review.</t>
        </is>
      </c>
    </row>
    <row r="39">
      <c r="A39" s="11" t="n">
        <v>38</v>
      </c>
      <c r="B39" s="11" t="inlineStr">
        <is>
          <t>African bioeconomy genomics</t>
        </is>
      </c>
      <c r="C39" s="11" t="inlineStr">
        <is>
          <t>10.1038/s44185-025-00102-9</t>
        </is>
      </c>
      <c r="D39" s="11" t="inlineStr">
        <is>
          <t>Rejected list (early sweeps)</t>
        </is>
      </c>
      <c r="E39" s="11" t="inlineStr">
        <is>
          <t>Perspective.</t>
        </is>
      </c>
    </row>
    <row r="40">
      <c r="A40" s="11" t="n">
        <v>39</v>
      </c>
      <c r="B40" s="11" t="inlineStr">
        <is>
          <t>Seven technologies to watch in 2025</t>
        </is>
      </c>
      <c r="C40" s="11" t="inlineStr">
        <is>
          <t>10.1038/d41586-025-00075-6</t>
        </is>
      </c>
      <c r="D40" s="11" t="inlineStr">
        <is>
          <t>Rejected list (early sweeps)</t>
        </is>
      </c>
      <c r="E40" s="11" t="inlineStr">
        <is>
          <t>News feature.</t>
        </is>
      </c>
    </row>
    <row r="41">
      <c r="A41" s="11" t="n">
        <v>40</v>
      </c>
      <c r="B41" s="11" t="inlineStr">
        <is>
          <t>ESHG 2025 ePoster abstracts</t>
        </is>
      </c>
      <c r="C41" s="11" t="inlineStr">
        <is>
          <t>10.1038/s41431-025-01934-6</t>
        </is>
      </c>
      <c r="D41" s="11" t="inlineStr">
        <is>
          <t>Rejected list (early sweeps)</t>
        </is>
      </c>
      <c r="E41" s="11" t="inlineStr">
        <is>
          <t>Conference abstracts.</t>
        </is>
      </c>
    </row>
    <row r="42">
      <c r="A42" s="11" t="n">
        <v>41</v>
      </c>
      <c r="B42" s="11" t="inlineStr">
        <is>
          <t>Wong (chitosanase, signal peptide optimization)</t>
        </is>
      </c>
      <c r="C42" s="11" t="inlineStr">
        <is>
          <t>10.1021/acs.jafc.5c13730</t>
        </is>
      </c>
      <c r="D42" s="11" t="inlineStr">
        <is>
          <t>Directed-evolution sweep</t>
        </is>
      </c>
      <c r="E42" s="11" t="inlineStr">
        <is>
          <t>Iterative rounds to one named winner (M8); paywalled, not opened past the abstract.</t>
        </is>
      </c>
    </row>
    <row r="43">
      <c r="A43" s="11" t="n">
        <v>42</v>
      </c>
      <c r="B43" s="11" t="inlineStr">
        <is>
          <t>PROTEUS mammalian directed-evolution platform</t>
        </is>
      </c>
      <c r="C43" s="11" t="inlineStr">
        <is>
          <t>10.1038/s41467-025-59438-2</t>
        </is>
      </c>
      <c r="D43" s="11" t="inlineStr">
        <is>
          <t>Directed-evolution sweep</t>
        </is>
      </c>
      <c r="E43" s="11" t="inlineStr">
        <is>
          <t>Methods/tool paper; the 'N variants' figures are allele-frequency spectra from continuous passaging, not an isolated-clone table; the two characterized Nb139 mutations are far under floor.</t>
        </is>
      </c>
    </row>
    <row r="44">
      <c r="A44" s="11" t="n">
        <v>43</v>
      </c>
      <c r="B44" s="11" t="inlineStr">
        <is>
          <t>Golden Gate continuous-evolution toolkit</t>
        </is>
      </c>
      <c r="C44" s="11" t="inlineStr">
        <is>
          <t>10.1093/synbio/ysaf014</t>
        </is>
      </c>
      <c r="D44" s="11" t="inlineStr">
        <is>
          <t>Directed-evolution sweep</t>
        </is>
      </c>
      <c r="E44" s="11" t="inlineStr">
        <is>
          <t>Pure toolkit demonstration; no target-protein dataset, just proof the mutator works.</t>
        </is>
      </c>
    </row>
    <row r="45">
      <c r="A45" s="11" t="n">
        <v>44</v>
      </c>
      <c r="B45" s="11" t="inlineStr">
        <is>
          <t>Maize HPPD via TADR</t>
        </is>
      </c>
      <c r="C45" s="11" t="inlineStr">
        <is>
          <t>10.1111/pbi.70160</t>
        </is>
      </c>
      <c r="D45" s="11" t="inlineStr">
        <is>
          <t>Directed-evolution sweep</t>
        </is>
      </c>
      <c r="E45" s="11" t="inlineStr">
        <is>
          <t>3-page technical advance; 9 point mutants individually tested, qualitative colony-color readout for most.</t>
        </is>
      </c>
    </row>
    <row r="46">
      <c r="A46" s="11" t="n">
        <v>45</v>
      </c>
      <c r="B46" s="11" t="inlineStr">
        <is>
          <t>MerR Hg2+ biosensor</t>
        </is>
      </c>
      <c r="C46" s="11" t="inlineStr">
        <is>
          <t>10.1016/j.bios.2025.117687</t>
        </is>
      </c>
      <c r="D46" s="11" t="inlineStr">
        <is>
          <t>Directed-evolution sweep</t>
        </is>
      </c>
      <c r="E46" s="11" t="inlineStr">
        <is>
          <t>Selection funnel (98% eliminated, then top 0.2%) ending in one named variant (V124E); not open access.</t>
        </is>
      </c>
    </row>
    <row r="47">
      <c r="A47" s="11" t="n">
        <v>46</v>
      </c>
      <c r="B47" s="11" t="inlineStr">
        <is>
          <t>Oncolytic Sindbis virus (osteosarcoma)</t>
        </is>
      </c>
      <c r="C47" s="11" t="inlineStr">
        <is>
          <t>10.1016/j.omton.2025.201096</t>
        </is>
      </c>
      <c r="D47" s="11" t="inlineStr">
        <is>
          <t>Directed-evolution sweep</t>
        </is>
      </c>
      <c r="E47" s="11" t="inlineStr">
        <is>
          <t>Adaptive passaging to a consensus lineage, not a mapped substitution landscape; 'variant' appears 6 times in the whole paper.</t>
        </is>
      </c>
    </row>
    <row r="48">
      <c r="A48" s="11" t="n">
        <v>47</v>
      </c>
      <c r="B48" s="11" t="inlineStr">
        <is>
          <t>Rubisco laboratory-evolution screen (Nat Plants)</t>
        </is>
      </c>
      <c r="C48" s="11" t="inlineStr">
        <is>
          <t>10.1038/s41477-025-02093-8</t>
        </is>
      </c>
      <c r="D48" s="11" t="inlineStr">
        <is>
          <t>Directed-evolution sweep</t>
        </is>
      </c>
      <c r="E48" s="11" t="inlineStr">
        <is>
          <t>Screen narrows to exactly two named point mutations (M116L, A242V), deeply characterized but not a library table.</t>
        </is>
      </c>
    </row>
    <row r="49">
      <c r="A49" s="11" t="n">
        <v>48</v>
      </c>
      <c r="B49" s="11" t="inlineStr">
        <is>
          <t>Nonheme iron BsQueD (alkene amination)</t>
        </is>
      </c>
      <c r="C49" s="11" t="inlineStr">
        <is>
          <t>10.1021/jacsau.5c00817</t>
        </is>
      </c>
      <c r="D49" s="11" t="inlineStr">
        <is>
          <t>Directed-evolution sweep</t>
        </is>
      </c>
      <c r="E49" s="11" t="inlineStr">
        <is>
          <t>'An optimized variant' -- lineage evolution to one champion.</t>
        </is>
      </c>
    </row>
    <row r="50">
      <c r="A50" s="11" t="n">
        <v>49</v>
      </c>
      <c r="B50" s="11" t="inlineStr">
        <is>
          <t>PchB to chorismate mutase (reverse evolution)</t>
        </is>
      </c>
      <c r="C50" s="11" t="inlineStr">
        <is>
          <t>10.1021/acs.biochem.5c00157</t>
        </is>
      </c>
      <c r="D50" s="11" t="inlineStr">
        <is>
          <t>Directed-evolution sweep</t>
        </is>
      </c>
      <c r="E50" s="11" t="inlineStr">
        <is>
          <t>Functional-complementation selection from a 7-position, 38,000-variant library down to a handful of named sequenced clones; no per-variant table, just individually characterized survivors.</t>
        </is>
      </c>
    </row>
    <row r="51">
      <c r="A51" s="11" t="n">
        <v>50</v>
      </c>
      <c r="B51" s="11" t="inlineStr">
        <is>
          <t>PHL7 PET hydrolase (4 rounds)</t>
        </is>
      </c>
      <c r="C51" s="11" t="inlineStr">
        <is>
          <t>10.1016/j.checat.2025.101399</t>
        </is>
      </c>
      <c r="D51" s="11" t="inlineStr">
        <is>
          <t>Directed-evolution sweep</t>
        </is>
      </c>
      <c r="E51" s="11" t="inlineStr">
        <is>
          <t>Four named final variants (Jemez, Santa Fe, Taos, Tusas); no deposited dataset, 'available upon reasonable request'.</t>
        </is>
      </c>
    </row>
    <row r="52">
      <c r="A52" s="11" t="n">
        <v>51</v>
      </c>
      <c r="B52" s="11" t="inlineStr">
        <is>
          <t>Q-body immunosensor quenching prediction</t>
        </is>
      </c>
      <c r="C52" s="11" t="inlineStr">
        <is>
          <t>10.1021/jacsau.4c01189</t>
        </is>
      </c>
      <c r="D52" s="11" t="inlineStr">
        <is>
          <t>Directed-evolution sweep</t>
        </is>
      </c>
      <c r="E52" s="11" t="inlineStr">
        <is>
          <t>The large NGS-scored library is a synthetic nanobody repertoire, not point mutants of one wild type; validated point-mutant sets (Trp scans) are single digits per antibody.</t>
        </is>
      </c>
    </row>
    <row r="53">
      <c r="A53" s="11" t="n">
        <v>52</v>
      </c>
      <c r="B53" s="11" t="inlineStr">
        <is>
          <t>Curr Protoc SELIS walkthrough</t>
        </is>
      </c>
      <c r="C53" s="11" t="inlineStr">
        <is>
          <t>10.1002/cpz1.70218</t>
        </is>
      </c>
      <c r="D53" s="11" t="inlineStr">
        <is>
          <t>Directed-evolution sweep</t>
        </is>
      </c>
      <c r="E53" s="11" t="inlineStr">
        <is>
          <t>Protocol demonstration, not a dataset paper.</t>
        </is>
      </c>
    </row>
    <row r="54">
      <c r="A54" s="11" t="n">
        <v>53</v>
      </c>
      <c r="B54" s="11" t="inlineStr">
        <is>
          <t>Ebola VP40 patient mutations</t>
        </is>
      </c>
      <c r="C54" s="11" t="inlineStr">
        <is>
          <t>10.1016/j.jbc.2025.110489</t>
        </is>
      </c>
      <c r="D54" s="11" t="inlineStr">
        <is>
          <t>Directed-evolution sweep</t>
        </is>
      </c>
      <c r="E54" s="11" t="inlineStr">
        <is>
          <t>'40 mutations' is epidemiological surveillance across outbreak lineages, not an experimental library; only 2 mutations (R204H, H269R) are lab-characterized.</t>
        </is>
      </c>
    </row>
    <row r="55">
      <c r="A55" s="11" t="n">
        <v>54</v>
      </c>
      <c r="B55" s="11" t="inlineStr">
        <is>
          <t>Cyanobacterial screening platform for Rubisco mutant variants</t>
        </is>
      </c>
      <c r="C55" s="11" t="inlineStr">
        <is>
          <t>10.1021/acssynbio.5c00065</t>
        </is>
      </c>
      <c r="D55" s="11" t="inlineStr">
        <is>
          <t>Seventh sweep (ACS, redone)</t>
        </is>
      </c>
      <c r="E55" s="11" t="inlineStr">
        <is>
          <t>16 variants, under the floor -- the authors' own GitHub repository is named CbbM_16variants. Deep-sequenced competitive growth, so the shape is right and only the size is wrong.</t>
        </is>
      </c>
    </row>
    <row r="56">
      <c r="A56" s="11" t="n">
        <v>55</v>
      </c>
      <c r="B56" s="11" t="inlineStr">
        <is>
          <t>Ultrahigh-throughput multiplexed screening from cell-free expression</t>
        </is>
      </c>
      <c r="C56" s="11" t="inlineStr">
        <is>
          <t>10.1021/jacs.5c04962</t>
        </is>
      </c>
      <c r="D56" s="11" t="inlineStr">
        <is>
          <t>Seventh sweep (ACS, redone)</t>
        </is>
      </c>
      <c r="E56" s="11" t="inlineStr">
        <is>
          <t>Not open access, no PMC record; a droplet-microfluidics methods paper rather than a variant dataset.</t>
        </is>
      </c>
    </row>
    <row r="57">
      <c r="A57" s="11" t="n">
        <v>56</v>
      </c>
      <c r="B57" s="11" t="inlineStr">
        <is>
          <t>Directed evolution of a genetically encoded chloride indicator</t>
        </is>
      </c>
      <c r="C57" s="11" t="inlineStr">
        <is>
          <t>10.1021/acssynbio.4c00818</t>
        </is>
      </c>
      <c r="D57" s="11" t="inlineStr">
        <is>
          <t>Seventh sweep (ACS, redone)</t>
        </is>
      </c>
      <c r="E57" s="11" t="inlineStr">
        <is>
          <t>fullTextXML empty; abstract describes a lineage to a named improved indicator.</t>
        </is>
      </c>
    </row>
    <row r="58">
      <c r="A58" s="11" t="n">
        <v>57</v>
      </c>
      <c r="B58" s="11" t="inlineStr">
        <is>
          <t>Stereoselective photoenzymatic hydroarylation</t>
        </is>
      </c>
      <c r="C58" s="11" t="inlineStr">
        <is>
          <t>10.1021/jacs.5c12440</t>
        </is>
      </c>
      <c r="D58" s="11" t="inlineStr">
        <is>
          <t>Seventh sweep (ACS, redone)</t>
        </is>
      </c>
      <c r="E58" s="11" t="inlineStr">
        <is>
          <t>fullTextXML empty; biocatalysis paper evolving to a named champion variant.</t>
        </is>
      </c>
    </row>
    <row r="59">
      <c r="A59" s="11" t="n">
        <v>58</v>
      </c>
      <c r="B59" s="11" t="inlineStr">
        <is>
          <t>Affibody stability (DR5 / TNFR1)</t>
        </is>
      </c>
      <c r="C59" s="11" t="inlineStr">
        <is>
          <t>10.1002/bit.28954</t>
        </is>
      </c>
      <c r="D59" s="11" t="inlineStr">
        <is>
          <t>Directed-evolution sweep</t>
        </is>
      </c>
      <c r="E59" s="11" t="inlineStr">
        <is>
          <t>Deep sequencing used only to triage candidates for individual validation; reported data is a handful of purified variants, not library-wide.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22" customWidth="1" min="3" max="3"/>
    <col width="22" customWidth="1" min="4" max="4"/>
    <col width="60" customWidth="1" min="5" max="5"/>
    <col width="50" customWidth="1" min="6" max="6"/>
  </cols>
  <sheetData>
    <row r="1" ht="30" customHeight="1">
      <c r="A1" s="3" t="inlineStr">
        <is>
          <t>#</t>
        </is>
      </c>
      <c r="B1" s="3" t="inlineStr">
        <is>
          <t>Paper (short label)</t>
        </is>
      </c>
      <c r="C1" s="3" t="inlineStr">
        <is>
          <t>DOI</t>
        </is>
      </c>
      <c r="D1" s="3" t="inlineStr">
        <is>
          <t>Sweep</t>
        </is>
      </c>
      <c r="E1" s="3" t="inlineStr">
        <is>
          <t>Why it's promising</t>
        </is>
      </c>
      <c r="F1" s="3" t="inlineStr">
        <is>
          <t>What's blocking it</t>
        </is>
      </c>
    </row>
    <row r="2">
      <c r="A2" s="12" t="n">
        <v>1</v>
      </c>
      <c r="B2" s="12" t="inlineStr">
        <is>
          <t>Class A beta-lactamase gatekeeper-residue screen (5 enzymes)</t>
        </is>
      </c>
      <c r="C2" s="12" t="inlineStr">
        <is>
          <t>10.1016/j.jbc.2025.110347</t>
        </is>
      </c>
      <c r="D2" s="12" t="inlineStr">
        <is>
          <t>Directed-evolution sweep</t>
        </is>
      </c>
      <c r="E2" s="12" t="inlineStr">
        <is>
          <t>Genuine deep-sequencing fitness data in a legacy .xls (needs xlrd): site saturation of Ambler position 105 in BlaC, CTX-M-14, KPC-2, NmcA, TEM-1, each vs. 7 substrates/inhibitors, 3 replicates, raw counts and per-replicate fitness values -- not just a figure.</t>
        </is>
      </c>
      <c r="F2" s="12" t="inlineStr">
        <is>
          <t>Single saturated position per enzyme: 19 substitutions + WT, one row under this branch's usual floor. Worth a second look if the bar is 'genuine deep-sequencing data' rather than 'library-scale'.</t>
        </is>
      </c>
    </row>
    <row r="3">
      <c r="A3" s="12" t="n">
        <v>2</v>
      </c>
      <c r="B3" s="12" t="inlineStr">
        <is>
          <t>Tryptophan decarboxylase (TDC) active-site recombination (SUMS)</t>
        </is>
      </c>
      <c r="C3" s="12" t="inlineStr">
        <is>
          <t>10.1002/pro.70356</t>
        </is>
      </c>
      <c r="D3" s="12" t="inlineStr">
        <is>
          <t>Directed-evolution sweep</t>
        </is>
      </c>
      <c r="E3" s="12" t="inlineStr">
        <is>
          <t>Substrate-multiplexed screening across 5 active-site positions; a clean prior single-site-saturation sub-library (96 unique single mutants) plus iterative combinatorial recombination libraries (~250 variants total, up to triple mutants, LC-MS-quantified). Multi-site labels are within format scope.</t>
        </is>
      </c>
      <c r="F3" s="12" t="inlineStr">
        <is>
          <t>Data availability is 'upon reasonable request' -- nothing machine-readable found in the supplement. Needs an email to the authors.</t>
        </is>
      </c>
    </row>
    <row r="4">
      <c r="A4" s="12" t="n">
        <v>3</v>
      </c>
      <c r="B4" s="12" t="inlineStr">
        <is>
          <t>Yeast-display A-beta-fibril conformational antibody campaign</t>
        </is>
      </c>
      <c r="C4" s="12" t="inlineStr">
        <is>
          <t>10.3389/fimmu.2025.1655893</t>
        </is>
      </c>
      <c r="D4" s="12" t="inlineStr">
        <is>
          <t>Directed-evolution sweep</t>
        </is>
      </c>
      <c r="E4" s="12" t="inlineStr">
        <is>
          <t>Real NGS sort-round data deposited on GitHub (Tessier-Lab-UMich/druglike-abeta-antibodies): CDR-sequence frequency tables for a defined 10-site NNK library (5 in HCDR1, 5 in LCDR2) built off a named parent antibody ('clone 97').</t>
        </is>
      </c>
      <c r="F4" s="12" t="inlineStr">
        <is>
          <t>Needs clone 97's parent CDR sequence from a different, earlier paper, and working out which numbered file per replicate is 'before' vs. 'after' selection -- not safe to guess at.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2026-08-27T06:50:34Z</dcterms:created>
  <dcterms:modified xmlns:dcterms="http://purl.org/dc/terms/" xmlns:xsi="http://www.w3.org/2001/XMLSchema-instance" xsi:type="dcterms:W3CDTF">2026-08-27T06:50:35Z</dcterms:modified>
</cp:coreProperties>
</file>