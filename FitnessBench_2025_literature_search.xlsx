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Open (maybe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16</v>
      </c>
    </row>
    <row r="5">
      <c r="A5" s="4" t="inlineStr">
        <is>
          <t>Datasets shipped</t>
        </is>
      </c>
      <c r="B5" s="4" t="n">
        <v>135</v>
      </c>
    </row>
    <row r="6">
      <c r="A6" s="4" t="inlineStr">
        <is>
          <t>Total variants across all shipped datasets</t>
        </is>
      </c>
      <c r="B6" s="4" t="n">
        <v>545965</v>
      </c>
    </row>
    <row r="7">
      <c r="A7" s="4" t="inlineStr">
        <is>
          <t>Papers/items explicitly rejected, with a recorded reason</t>
        </is>
      </c>
      <c r="B7" s="4" t="n">
        <v>54</v>
      </c>
    </row>
    <row r="8">
      <c r="A8" s="4" t="inlineStr">
        <is>
          <t>Papers left open ("maybe" — not curated, not rejected)</t>
        </is>
      </c>
      <c r="B8" s="4" t="n">
        <v>3</v>
      </c>
    </row>
    <row r="9">
      <c r="A9" s="4" t="inlineStr">
        <is>
          <t>Search sweeps run</t>
        </is>
      </c>
      <c r="B9" s="4" t="n">
        <v>7</v>
      </c>
    </row>
    <row r="11" ht="30" customHeight="1">
      <c r="A11" s="3" t="inlineStr">
        <is>
          <t>Source-organism category</t>
        </is>
      </c>
      <c r="B11" s="3" t="inlineStr">
        <is>
          <t>Datasets</t>
        </is>
      </c>
      <c r="C11" s="3" t="inlineStr">
        <is>
          <t>Variants</t>
        </is>
      </c>
      <c r="D11" s="3" t="inlineStr">
        <is>
          <t>Papers</t>
        </is>
      </c>
      <c r="E11" s="3" t="inlineStr">
        <is>
          <t>Example proteins</t>
        </is>
      </c>
    </row>
    <row r="12">
      <c r="A12" s="5" t="inlineStr">
        <is>
          <t>Bacteria</t>
        </is>
      </c>
      <c r="B12" s="5" t="n">
        <v>78</v>
      </c>
      <c r="C12" s="5" t="n">
        <v>93517</v>
      </c>
      <c r="D12" s="5" t="n">
        <v>5</v>
      </c>
      <c r="E12" s="5" t="inlineStr">
        <is>
          <t>SpCas9 (PAMmla), RbcL, McbA, CjPglB, LbCas12a, creatinase</t>
        </is>
      </c>
    </row>
    <row r="13">
      <c r="A13" s="5" t="inlineStr">
        <is>
          <t>Archaea</t>
        </is>
      </c>
      <c r="B13" s="5" t="n">
        <v>5</v>
      </c>
      <c r="C13" s="5" t="n">
        <v>1753</v>
      </c>
      <c r="D13" s="5" t="n">
        <v>4</v>
      </c>
      <c r="E13" s="5" t="inlineStr">
        <is>
          <t>ParLQ, PylRS (IFRS), pCNFRS, Tgo-D4K polymerase</t>
        </is>
      </c>
    </row>
    <row r="14">
      <c r="A14" s="5" t="inlineStr">
        <is>
          <t>Yeast / fungi</t>
        </is>
      </c>
      <c r="B14" s="5" t="n">
        <v>9</v>
      </c>
      <c r="C14" s="5" t="n">
        <v>118603</v>
      </c>
      <c r="D14" s="5" t="n">
        <v>1</v>
      </c>
      <c r="E14" s="5" t="inlineStr">
        <is>
          <t>RNA Pol II Rpb1 (S. cerevisiae)</t>
        </is>
      </c>
    </row>
    <row r="15">
      <c r="A15" s="5" t="inlineStr">
        <is>
          <t>Plants</t>
        </is>
      </c>
      <c r="B15" s="5" t="n">
        <v>2</v>
      </c>
      <c r="C15" s="5" t="n">
        <v>419</v>
      </c>
      <c r="D15" s="5" t="n">
        <v>2</v>
      </c>
      <c r="E15" s="5" t="inlineStr">
        <is>
          <t>AtHMT, CONSTANS (A. thaliana)</t>
        </is>
      </c>
    </row>
    <row r="16">
      <c r="A16" s="5" t="inlineStr">
        <is>
          <t>Viruses (incl. bacteriophage)</t>
        </is>
      </c>
      <c r="B16" s="5" t="n">
        <v>25</v>
      </c>
      <c r="C16" s="5" t="n">
        <v>270545</v>
      </c>
      <c r="D16" s="5" t="n">
        <v>4</v>
      </c>
      <c r="E16" s="5" t="inlineStr">
        <is>
          <t>TEV protease, influenza NEP, T7 RNA polymerase, Con1 (designed potyviral consensus)</t>
        </is>
      </c>
    </row>
    <row r="17">
      <c r="A17" s="5" t="inlineStr">
        <is>
          <t>Human</t>
        </is>
      </c>
      <c r="B17" s="5" t="n">
        <v>14</v>
      </c>
      <c r="C17" s="5" t="n">
        <v>61070</v>
      </c>
      <c r="D17" s="5" t="n">
        <v>2</v>
      </c>
      <c r="E17" s="5" t="inlineStr">
        <is>
          <t>MET kinase domain, SHP2</t>
        </is>
      </c>
    </row>
    <row r="18">
      <c r="A18" s="5" t="inlineStr">
        <is>
          <t>Other (animal-derived)</t>
        </is>
      </c>
      <c r="B18" s="5" t="n">
        <v>2</v>
      </c>
      <c r="C18" s="5" t="n">
        <v>58</v>
      </c>
      <c r="D18" s="5" t="n">
        <v>1</v>
      </c>
      <c r="E18" s="5" t="inlineStr">
        <is>
          <t>VHH nanobody, camelid-derived</t>
        </is>
      </c>
    </row>
    <row r="19">
      <c r="A19" s="6" t="inlineStr">
        <is>
          <t xml:space="preserve">  Subtotal: Prokaryotes (Bacteria + Archaea)</t>
        </is>
      </c>
      <c r="B19" s="6" t="n">
        <v>83</v>
      </c>
      <c r="C19" s="6" t="n">
        <v>95270</v>
      </c>
      <c r="D19" s="5" t="n"/>
      <c r="E19" s="5" t="n"/>
    </row>
    <row r="20">
      <c r="A20" s="6" t="inlineStr">
        <is>
          <t xml:space="preserve">  Subtotal: Eukaryotes, non-human (Yeast/fungi + Plants + Other)</t>
        </is>
      </c>
      <c r="B20" s="6" t="n">
        <v>13</v>
      </c>
      <c r="C20" s="6" t="n">
        <v>119080</v>
      </c>
      <c r="D20" s="5" t="n"/>
      <c r="E20" s="5" t="n"/>
    </row>
    <row r="21">
      <c r="A21" s="7" t="inlineStr">
        <is>
          <t>TOTAL</t>
        </is>
      </c>
      <c r="B21" s="7">
        <f>SUM(B12:B18)</f>
        <v/>
      </c>
      <c r="C21" s="7">
        <f>SUM(C12:C18)</f>
        <v/>
      </c>
      <c r="D21" s="5" t="n"/>
      <c r="E21" s="5" t="n"/>
    </row>
    <row r="22" ht="60" customHeight="1">
      <c r="A22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16.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>
      <c r="A24" s="3" t="inlineStr">
        <is>
          <t>Sweep</t>
        </is>
      </c>
      <c r="B24" s="3" t="inlineStr">
        <is>
          <t>What it searched</t>
        </is>
      </c>
      <c r="C24" s="3" t="inlineStr">
        <is>
          <t>Venue coverage</t>
        </is>
      </c>
      <c r="D24" s="3" t="n"/>
      <c r="E24" s="3" t="n"/>
    </row>
    <row r="25">
      <c r="A25" s="5" t="inlineStr">
        <is>
          <t>First sweep</t>
        </is>
      </c>
      <c r="B25" s="5" t="inlineStr">
        <is>
          <t>"machine learning guided enzyme engineering" (+/- organism)</t>
        </is>
      </c>
      <c r="C25" s="5" t="inlineStr">
        <is>
          <t>nature.com, 2025</t>
        </is>
      </c>
    </row>
    <row r="26">
      <c r="A26" s="5" t="inlineStr">
        <is>
          <t>Second sweep</t>
        </is>
      </c>
      <c r="B26" s="5" t="inlineStr">
        <is>
          <t>Same query, organism clause dropped</t>
        </is>
      </c>
      <c r="C26" s="5" t="inlineStr">
        <is>
          <t>Springer Nature via Europe PMC, 2025</t>
        </is>
      </c>
    </row>
    <row r="27">
      <c r="A27" s="5" t="inlineStr">
        <is>
          <t>Third sweep</t>
        </is>
      </c>
      <c r="B27" s="5" t="inlineStr">
        <is>
          <t>"deep mutational scanning" / "variant effect map" / "massively parallel mutagenesis" / "site-saturation mutagenesis"</t>
        </is>
      </c>
      <c r="C27" s="5" t="inlineStr">
        <is>
          <t>All publishers via Europe PMC, 2025, open access</t>
        </is>
      </c>
    </row>
    <row r="28">
      <c r="A28" s="5" t="inlineStr">
        <is>
          <t>Fourth sweep (ACS)</t>
        </is>
      </c>
      <c r="B28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for anything that looked promising went through Europe PMC instead.</t>
        </is>
      </c>
      <c r="C28" s="5" t="inlineStr">
        <is>
          <t>ACS Catal, ACS Cent Sci, ACS Synth Biol, JACS, Biochemistry, 2025, open access</t>
        </is>
      </c>
    </row>
    <row r="29">
      <c r="A29" s="5" t="inlineStr">
        <is>
          <t>Fifth sweep (PNAS)</t>
        </is>
      </c>
      <c r="B29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29" s="5" t="inlineStr">
        <is>
          <t>PNAS, 2025, open access</t>
        </is>
      </c>
    </row>
    <row r="30">
      <c r="A30" s="5" t="inlineStr">
        <is>
          <t>Sixth sweep (Cell Press)</t>
        </is>
      </c>
      <c r="B30" s="5" t="inlineStr">
        <is>
          <t>Title-matched across the full journal family (43 hits) -- almost entirely clinical-ML iScience papers with no connection to protein engineering, so no separate abstract pass was run.</t>
        </is>
      </c>
      <c r="C30" s="5" t="inlineStr">
        <is>
          <t>Cell, Mol Cell, Cell Chem Biol, Cell Systems, Structure, Cell Host &amp; Microbe, Immunity, Curr Biol, Chem, iScience, Cell Rep Methods, Cell Rep Phys Sci</t>
        </is>
      </c>
    </row>
    <row r="31">
      <c r="A31" s="5" t="inlineStr">
        <is>
          <t>Directed-evolution sweep</t>
        </is>
      </c>
      <c r="B31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1" s="5" t="inlineStr">
        <is>
          <t>All publishers via Europe PMC, 2025, journals only (no bioRxiv)</t>
        </is>
      </c>
    </row>
    <row r="33" ht="45" customHeight="1">
      <c r="A33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22:E22"/>
    <mergeCell ref="A1:E1"/>
    <mergeCell ref="A33:E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1</v>
      </c>
      <c r="I7" s="9" t="n">
        <v>176</v>
      </c>
      <c r="J7" s="9" t="inlineStr">
        <is>
          <t>AtHMT methyltransferase, substrate preference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10" t="inlineStr">
        <is>
          <t>TOTAL</t>
        </is>
      </c>
      <c r="B18" s="4" t="n"/>
      <c r="C18" s="4" t="n"/>
      <c r="D18" s="4" t="n"/>
      <c r="E18" s="4" t="n"/>
      <c r="F18" s="4" t="n"/>
      <c r="G18" s="4" t="n"/>
      <c r="H18" s="10">
        <f>SUM(H2:H17)</f>
        <v/>
      </c>
      <c r="I18" s="10">
        <f>SUM(I2:I17)</f>
        <v/>
      </c>
      <c r="J18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Affibody stability (DR5 / TNFR1)</t>
        </is>
      </c>
      <c r="C55" s="11" t="inlineStr">
        <is>
          <t>10.1002/bit.28954</t>
        </is>
      </c>
      <c r="D55" s="11" t="inlineStr">
        <is>
          <t>Directed-evolution sweep</t>
        </is>
      </c>
      <c r="E55" s="11" t="inlineStr">
        <is>
          <t>Deep sequencing used only to triage candidates for individual validation; reported data is a handful of purified variants, not library-wide.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n">
        <v>1</v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n">
        <v>2</v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n">
        <v>3</v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2026-08-27T06:09:20Z</dcterms:created>
  <dcterms:modified xmlns:dcterms="http://purl.org/dc/terms/" xmlns:xsi="http://www.w3.org/2001/XMLSchema-instance" xsi:type="dcterms:W3CDTF">2026-08-27T06:09:20Z</dcterms:modified>
</cp:coreProperties>
</file>