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23</v>
      </c>
    </row>
    <row r="5">
      <c r="A5" s="4" t="inlineStr">
        <is>
          <t>Datasets shipped</t>
        </is>
      </c>
      <c r="B5" s="4" t="n">
        <v>168</v>
      </c>
    </row>
    <row r="6">
      <c r="A6" s="4" t="inlineStr">
        <is>
          <t>Total variants across all shipped datasets</t>
        </is>
      </c>
      <c r="B6" s="4" t="n">
        <v>660460</v>
      </c>
    </row>
    <row r="7">
      <c r="A7" s="4" t="inlineStr">
        <is>
          <t>Papers/items explicitly rejected, with a recorded reason</t>
        </is>
      </c>
      <c r="B7" s="4" t="n">
        <v>69</v>
      </c>
    </row>
    <row r="8">
      <c r="A8" s="4" t="inlineStr">
        <is>
          <t>Papers left open ("maybe" — not curated, not rejected)</t>
        </is>
      </c>
      <c r="B8" s="4" t="n">
        <v>1</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104</v>
      </c>
      <c r="C13" s="5" t="n">
        <v>178378</v>
      </c>
      <c r="D13" s="5" t="n">
        <v>11</v>
      </c>
      <c r="E13" s="5" t="inlineStr">
        <is>
          <t>SpCas9 (PAMmla), RbcL, McbA, CjPglB, SaAmd, LbCas12a, YmPhytase, rubisco (R. rubrum), tryptophan decarboxylase (R. gnavus), EnvZ histidine kinase (E. coli), NucB nuclease (B. licheniformis)</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9" t="inlineStr">
        <is>
          <t>22</t>
        </is>
      </c>
      <c r="B23" s="9" t="inlineStr">
        <is>
          <t>Ghose</t>
        </is>
      </c>
      <c r="C23" s="9" t="inlineStr">
        <is>
          <t>2025</t>
        </is>
      </c>
      <c r="D23" s="9" t="inlineStr">
        <is>
          <t>Cell Reports</t>
        </is>
      </c>
      <c r="E23" s="9" t="inlineStr">
        <is>
          <t>Multi-environment deep mutational scanning reveals the distribution of temperature-sensitive variants in a bacterial kinase</t>
        </is>
      </c>
      <c r="F23" s="9" t="inlineStr">
        <is>
          <t>10.1016/j.celrep.2025.116446</t>
        </is>
      </c>
      <c r="G23" s="9" t="inlineStr">
        <is>
          <t>datasets</t>
        </is>
      </c>
      <c r="H23" s="9" t="inlineStr">
        <is>
          <t>2</t>
        </is>
      </c>
      <c r="I23" s="9" t="inlineStr">
        <is>
          <t>2280</t>
        </is>
      </c>
      <c r="J23" s="9" t="inlineStr">
        <is>
          <t>EnvZ, the E. coli osmosensing histidine kinase, UniProt P0AEJ4, 450 aa. Single-site saturation of the DHp domain (positions 230-289, located by exact string match against the 60-aa MaveDB target). 1,140 substitutions per temperature, read out as GFP expression downstream of the cognate regulator OmpR. Curated from the authors' MaveDB deposit (urn:mavedb:00001240-a, CC0), not the article, which is CC-BY but which cell.com will not serve to an automated fetch. Two of the three temperature arms shipped: the 37 C arm was dropped because its nonsense variants score higher than wild type.</t>
        </is>
      </c>
    </row>
    <row r="24">
      <c r="A24" s="9" t="inlineStr">
        <is>
          <t>23</t>
        </is>
      </c>
      <c r="B24" s="9" t="inlineStr">
        <is>
          <t>Thomas</t>
        </is>
      </c>
      <c r="C24" s="9" t="inlineStr">
        <is>
          <t>2025</t>
        </is>
      </c>
      <c r="D24" s="9" t="inlineStr">
        <is>
          <t>Cell Systems</t>
        </is>
      </c>
      <c r="E24" s="9" t="inlineStr">
        <is>
          <t>Engineering highly active nuclease enzymes with machine learning and high-throughput screening</t>
        </is>
      </c>
      <c r="F24" s="9" t="inlineStr">
        <is>
          <t>10.1016/j.cels.2025.101236</t>
        </is>
      </c>
      <c r="G24" s="9" t="inlineStr">
        <is>
          <t>datasets</t>
        </is>
      </c>
      <c r="H24" s="9" t="inlineStr">
        <is>
          <t>4</t>
        </is>
      </c>
      <c r="I24" s="9" t="inlineStr">
        <is>
          <t>58137</t>
        </is>
      </c>
      <c r="J24" s="9" t="inlineStr">
        <is>
          <t>NucB, the biofilm-dispersing nuclease of Bacillus licheniformis, 142 aa, byte-identical to UniProt F1BV52. Four generations of a machine-learning-guided design campaign (TeleProt), one dataset each, read out as droplet-sort enrichment factors: g1 9,440 / g2 14,677 / g3 18,617 / g4 15,403 variants, 1-23 substitutions each. Curated from the public GCS bucket behind github.com/google-deepmind/nuclease_design, not the article, which cell.com will not serve to an automated fetch. The union of the four is 55,759 distinct genotypes, exactly reproducing the 55,760-row landscape.csv the paper headlines as 'a dataset of 55,000 nuclease variants' -- but with continuous enrichment factors in place of that file's four-level ordinal.</t>
        </is>
      </c>
    </row>
    <row r="25">
      <c r="A25" s="10" t="inlineStr">
        <is>
          <t>TOTAL</t>
        </is>
      </c>
      <c r="B25" s="4" t="n"/>
      <c r="C25" s="4" t="n"/>
      <c r="D25" s="4" t="n"/>
      <c r="E25" s="4" t="n"/>
      <c r="F25" s="4" t="n"/>
      <c r="G25" s="4" t="n"/>
      <c r="H25" s="10">
        <f>SUM(H2:H24)</f>
        <v/>
      </c>
      <c r="I25" s="10">
        <f>SUM(I2:I24)</f>
        <v/>
      </c>
      <c r="J25"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0"/>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row r="67">
      <c r="A67" s="11" t="inlineStr">
        <is>
          <t>66</t>
        </is>
      </c>
      <c r="B67" s="11" t="inlineStr">
        <is>
          <t>ACE2 droplet-microfluidic activity screen</t>
        </is>
      </c>
      <c r="C67" s="11" t="inlineStr">
        <is>
          <t>10.1186/s13036-025-00482-3</t>
        </is>
      </c>
      <c r="D67" s="11" t="inlineStr">
        <is>
          <t>Thirteenth sweep (droplet / ultrahigh-throughput axis)</t>
        </is>
      </c>
      <c r="E67" s="11" t="inlineStr">
        <is>
          <t>Rejected on reproducibility, having been opened in full. Additional File 3 is a real machine-readable table -- 622 single substitutions in human ACE2, positions 19-614, with log enrichment values from each of three droplet sorts -- and ACE2 is a peptidase, so the enzyme scope admits it. But the three sorts do not agree: Pearson r is 0.074 between sorts 1 and 2, 0.006 between 1 and 3, and -0.029 between 2 and 3. Three sorts of one library correlating at zero means the per-variant numbers are not a measurement. The spread of the per-variant means is 1.17x the median within-variant scatter, so averaging does not rescue it either. The paper is candid about this -- it reports 'large variability in mutational enrichment across the three replicates' and uses the columns as a consensus filter to pick six mutants rather than as a landscape; those six duly rank high by mean, but they were chosen from these same three columns, so that is not independent support. 24 of the 622 labels are nonsense variants and would need dropping regardless. A dataset built from this would pass every validator here and be noise.</t>
        </is>
      </c>
    </row>
    <row r="68">
      <c r="A68" s="11" t="inlineStr">
        <is>
          <t>67</t>
        </is>
      </c>
      <c r="B68" s="11" t="inlineStr">
        <is>
          <t>Directed evolution of a TNA polymerase</t>
        </is>
      </c>
      <c r="C68" s="11" t="inlineStr">
        <is>
          <t>10.1038/s41467-025-67652-1</t>
        </is>
      </c>
      <c r="D68" s="11" t="inlineStr">
        <is>
          <t>Thirteenth sweep (fitness landscape / epistasis axis)</t>
        </is>
      </c>
      <c r="E68" s="11" t="inlineStr">
        <is>
          <t>Chased to the data availability statement. Source Data covers figures, kinetics and thermostability of the evolved champions, and the deposits are crystal structures (PDB 9OAT, 9OAU, 9OAV, 9OAW, 9OAX, 9OAY). No per-variant table; the one-champion directed-evolution pattern.</t>
        </is>
      </c>
    </row>
    <row r="69">
      <c r="A69" s="11" t="inlineStr">
        <is>
          <t>68</t>
        </is>
      </c>
      <c r="B69" s="11" t="inlineStr">
        <is>
          <t>Bacterial P450 steroid side-chain cleavage enzymes</t>
        </is>
      </c>
      <c r="C69" s="11" t="inlineStr">
        <is>
          <t>10.1038/s41467-025-67278-3</t>
        </is>
      </c>
      <c r="D69" s="11" t="inlineStr">
        <is>
          <t>Thirteenth sweep (ASR / iterative saturation axis)</t>
        </is>
      </c>
      <c r="E69" s="11" t="inlineStr">
        <is>
          <t>An enzyme discovery paper, not a variant library: a BLAST and phylogenetic survey identifying CYP204 family members, with structures, docking and MD. The figshare deposit holds RESP fitting and MD simulation inputs. Homolog panel, so no shared wild type and no mutant column, the shape that also sank the Cas12a orthologs and the PET hydrolase panel.</t>
        </is>
      </c>
    </row>
    <row r="70">
      <c r="A70" s="11" t="inlineStr">
        <is>
          <t>69</t>
        </is>
      </c>
      <c r="B70" s="11" t="inlineStr">
        <is>
          <t>Microfluidic ultrahigh-throughput ketoreductase screen</t>
        </is>
      </c>
      <c r="C70" s="11" t="inlineStr">
        <is>
          <t>10.1021/acs.analchem.5c01029</t>
        </is>
      </c>
      <c r="D70" s="11" t="inlineStr">
        <is>
          <t>Thirteenth sweep (droplet / ultrahigh-throughput axis)</t>
        </is>
      </c>
      <c r="E70" s="11" t="inlineStr">
        <is>
          <t>A discovery screen over natural ketoreductase diversity rather than a mutant library of one parent, and the full text carries no data availability statement. Same shape as the P450 paper above.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row r="39">
      <c r="A39" s="16" t="inlineStr">
        <is>
          <t>38</t>
        </is>
      </c>
      <c r="B39" s="16" t="inlineStr">
        <is>
          <t>Ghose 2025 (EnvZ multi-environment DMS)</t>
        </is>
      </c>
      <c r="C39" s="16" t="inlineStr">
        <is>
          <t>10.1016/j.celrep.2025.116446</t>
        </is>
      </c>
      <c r="D39" s="16" t="inlineStr">
        <is>
          <t>2</t>
        </is>
      </c>
      <c r="E39" s="16" t="inlineStr">
        <is>
          <t>The 37 C arm, urn:mavedb:00001240-a-3, 1,122 substitutions</t>
        </is>
      </c>
      <c r="F39" s="16" t="inlineStr">
        <is>
          <t>Fails the experiment's own internal control. The 59 nonsense variants truncate the kinase and must be dead; at 30 C and 42 C their median score is 2.26 and 2.15 against a wild type of 3.73, but at 37 C it is 3.754 against a wild type of 3.639 -- a truncated EnvZ scoring higher than the intact one. 556 of 1,122 substitutions (50%) fall on the dead side of that median. fold_induction does not rescue it: it separates WT (73.3) from nonsense (1.18) but puts the median substitution at 1.16, which would make nearly every mutation lethal at 37 C and contradict the paper's own finding of high mutational tolerance. The 37 C file is also the only one of the three at full float precision rather than 2 dp, so it looks differently processed.</t>
        </is>
      </c>
      <c r="G39" s="16" t="inlineStr">
        <is>
          <t>n/a -- found on curation 2026-09-07, not by the 2026-08-27 audit</t>
        </is>
      </c>
      <c r="H39" s="16" t="inlineStr">
        <is>
          <t>Revisit if the article's methods become available; cell.com blocks automated retrieval of the CC-BY PDF, so the paper's own treatment of the 37 C arm is unread. Would have passed every validator in this repository.</t>
        </is>
      </c>
    </row>
    <row r="40">
      <c r="A40" s="16" t="inlineStr">
        <is>
          <t>39</t>
        </is>
      </c>
      <c r="B40" s="16" t="inlineStr">
        <is>
          <t>Thomas 2025 (NucB TeleProt campaign)</t>
        </is>
      </c>
      <c r="C40" s="16" t="inlineStr">
        <is>
          <t>10.1016/j.cels.2025.101236</t>
        </is>
      </c>
      <c r="D40" s="16" t="inlineStr">
        <is>
          <t>4</t>
        </is>
      </c>
      <c r="E40" s="16" t="inlineStr">
        <is>
          <t>The other sort gates of each generation, and processed_data/landscape.csv</t>
        </is>
      </c>
      <c r="F40" s="16" t="inlineStr">
        <is>
          <t>Each generation was sorted at several stringencies and the gates are not equivalent. The most stringent recover almost nothing: g3's 99th-percentile gate is zero for 16,530 of 18,618 variants and g4's 99.5th for 14,027 of 15,404, and neither separates the variants the deposit labels as beating wild type. One gate per generation was shipped -- the one with the fewest zeros and most distinct values that still separates those labels -- and the rest left unshipped rather than averaged, since a mean across stringencies is not a quantity the experiment measured. landscape.csv, the 55,760-row summary, is excluded because its activity_level is a four-level ordinal carrying far less information per variant than the enrichment factors; its genotype set is fully covered by the four files shipped.</t>
        </is>
      </c>
      <c r="G40" s="16" t="inlineStr">
        <is>
          <t>n/a -- found on curation 2026-09-07</t>
        </is>
      </c>
      <c r="H40" s="16" t="inlineStr">
        <is>
          <t>Revisit the discarded gates only if a use emerges for per-stringency replicates. The raw per-bin read counts are also available in the same bucket (100 MB - 1.2 GB per file).</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3" t="inlineStr">
        <is>
          <t>1</t>
        </is>
      </c>
      <c r="B2" s="3" t="inlineStr">
        <is>
          <t>TEV protease engineered by enzyme-substrate co-display on yeast</t>
        </is>
      </c>
      <c r="C2" s="3" t="inlineStr">
        <is>
          <t>10.1093/protein/gzaf011</t>
        </is>
      </c>
      <c r="D2" s="3" t="inlineStr">
        <is>
          <t>Twelfth sweep (OA filter removed)</t>
        </is>
      </c>
      <c r="E2" s="3" t="inlineStr">
        <is>
          <t>Yeast surface display co-presenting protease mutants with their substrate, so activity is read by loss of an epitope tag under flow cytometry. A protease is in scope and the method is library-scale on its face.</t>
        </is>
      </c>
      <c r="F2" s="3" t="inlineStr">
        <is>
          <t>No action needed yet. PMC13010152 is already assigned but live:False -- it is under embargo and will become fetchable on its own. Re-check rather than chase.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2026-09-07T06:59:57Z</dcterms:modified>
</cp:coreProperties>
</file>