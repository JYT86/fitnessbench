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24</v>
      </c>
    </row>
    <row r="5">
      <c r="A5" s="4" t="inlineStr">
        <is>
          <t>Datasets shipped</t>
        </is>
      </c>
      <c r="B5" s="4" t="n">
        <v>176</v>
      </c>
    </row>
    <row r="6">
      <c r="A6" s="4" t="inlineStr">
        <is>
          <t>Total variants across all shipped datasets</t>
        </is>
      </c>
      <c r="B6" s="4" t="n">
        <v>660856</v>
      </c>
    </row>
    <row r="7">
      <c r="A7" s="4" t="inlineStr">
        <is>
          <t>Papers/items explicitly rejected, with a recorded reason</t>
        </is>
      </c>
      <c r="B7" s="4" t="n">
        <v>70</v>
      </c>
    </row>
    <row r="8">
      <c r="A8" s="4" t="inlineStr">
        <is>
          <t>Papers left open ("maybe" — not curated, not rejected)</t>
        </is>
      </c>
      <c r="B8" s="4" t="n">
        <v>2</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22</v>
      </c>
      <c r="C15" s="5" t="n">
        <v>147999</v>
      </c>
      <c r="D15" s="5" t="n">
        <v>3</v>
      </c>
      <c r="E15" s="5" t="inlineStr">
        <is>
          <t>RNA Pol II Rpb1 (S. cerevisiae), DAOx (Rhodotorula gracilis), MthUPO peroxygenase (M. thermophila)</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9" t="inlineStr">
        <is>
          <t>24</t>
        </is>
      </c>
      <c r="B25" s="9" t="inlineStr">
        <is>
          <t>Munch</t>
        </is>
      </c>
      <c r="C25" s="9" t="inlineStr">
        <is>
          <t>2025</t>
        </is>
      </c>
      <c r="D25" s="9" t="inlineStr">
        <is>
          <t>ACS Catalysis</t>
        </is>
      </c>
      <c r="E25" s="9" t="inlineStr">
        <is>
          <t>Computationally Designed Peroxygenases That Exhibit Diverse and Selective Terpene Oxyfunctionalization</t>
        </is>
      </c>
      <c r="F25" s="9" t="inlineStr">
        <is>
          <t>10.1021/acscatal.5c02412</t>
        </is>
      </c>
      <c r="G25" s="9" t="inlineStr">
        <is>
          <t>datasets</t>
        </is>
      </c>
      <c r="H25" s="9" t="inlineStr">
        <is>
          <t>8</t>
        </is>
      </c>
      <c r="I25" s="9" t="inlineStr">
        <is>
          <t>396</t>
        </is>
      </c>
      <c r="J25" s="9" t="inlineStr">
        <is>
          <t>MthUPO, the unspecific peroxygenase of Myceliophthora thermophila, 245-aa expression construct. Fifty FuncLib-designed active-site variants, four substitutions each among ten designed positions, screened against eight terpene substrates -- geraniol, nerol, (R)- and (S)-limonene, alpha- and delta-damascone, alpha- and beta-ionone -- one dataset per substrate, readout being total product relative to wild type. Data from the authors' Harvard Dataverse deposit 10.7910/DVN/ZPKEAI (CC0). Found only on re-auditing ACS Catalysis with a looser query: the seventh sweep's directed-evolution vocabulary misses computational design.</t>
        </is>
      </c>
    </row>
    <row r="26">
      <c r="A26" s="10" t="inlineStr">
        <is>
          <t>TOTAL</t>
        </is>
      </c>
      <c r="B26" s="4" t="n"/>
      <c r="C26" s="4" t="n"/>
      <c r="D26" s="4" t="n"/>
      <c r="E26" s="4" t="n"/>
      <c r="F26" s="4" t="n"/>
      <c r="G26" s="4" t="n"/>
      <c r="H26" s="10">
        <f>SUM(H2:H25)</f>
        <v/>
      </c>
      <c r="I26" s="10">
        <f>SUM(I2:I25)</f>
        <v/>
      </c>
      <c r="J26"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row r="67">
      <c r="A67" s="11" t="inlineStr">
        <is>
          <t>66</t>
        </is>
      </c>
      <c r="B67" s="11" t="inlineStr">
        <is>
          <t>ACE2 droplet-microfluidic activity screen</t>
        </is>
      </c>
      <c r="C67" s="11" t="inlineStr">
        <is>
          <t>10.1186/s13036-025-00482-3</t>
        </is>
      </c>
      <c r="D67" s="11" t="inlineStr">
        <is>
          <t>Thirteenth sweep (droplet / ultrahigh-throughput axis)</t>
        </is>
      </c>
      <c r="E67" s="11" t="inlineStr">
        <is>
          <t>Rejected on reproducibility, having been opened in full. Additional File 3 is a real machine-readable table -- 622 single substitutions in human ACE2, positions 19-614, with log enrichment values from each of three droplet sorts -- and ACE2 is a peptidase, so the enzyme scope admits it. But the three sorts do not agree: Pearson r is 0.074 between sorts 1 and 2, 0.006 between 1 and 3, and -0.029 between 2 and 3. Three sorts of one library correlating at zero means the per-variant numbers are not a measurement. The spread of the per-variant means is 1.17x the median within-variant scatter, so averaging does not rescue it either. The paper is candid about this -- it reports 'large variability in mutational enrichment across the three replicates' and uses the columns as a consensus filter to pick six mutants rather than as a landscape; those six duly rank high by mean, but they were chosen from these same three columns, so that is not independent support. 24 of the 622 labels are nonsense variants and would need dropping regardless. A dataset built from this would pass every validator here and be noise.</t>
        </is>
      </c>
    </row>
    <row r="68">
      <c r="A68" s="11" t="inlineStr">
        <is>
          <t>67</t>
        </is>
      </c>
      <c r="B68" s="11" t="inlineStr">
        <is>
          <t>Directed evolution of a TNA polymerase</t>
        </is>
      </c>
      <c r="C68" s="11" t="inlineStr">
        <is>
          <t>10.1038/s41467-025-67652-1</t>
        </is>
      </c>
      <c r="D68" s="11" t="inlineStr">
        <is>
          <t>Thirteenth sweep (fitness landscape / epistasis axis)</t>
        </is>
      </c>
      <c r="E68" s="11" t="inlineStr">
        <is>
          <t>Chased to the data availability statement. Source Data covers figures, kinetics and thermostability of the evolved champions, and the deposits are crystal structures (PDB 9OAT, 9OAU, 9OAV, 9OAW, 9OAX, 9OAY). No per-variant table; the one-champion directed-evolution pattern.</t>
        </is>
      </c>
    </row>
    <row r="69">
      <c r="A69" s="11" t="inlineStr">
        <is>
          <t>68</t>
        </is>
      </c>
      <c r="B69" s="11" t="inlineStr">
        <is>
          <t>Bacterial P450 steroid side-chain cleavage enzymes</t>
        </is>
      </c>
      <c r="C69" s="11" t="inlineStr">
        <is>
          <t>10.1038/s41467-025-67278-3</t>
        </is>
      </c>
      <c r="D69" s="11" t="inlineStr">
        <is>
          <t>Thirteenth sweep (ASR / iterative saturation axis)</t>
        </is>
      </c>
      <c r="E69" s="11" t="inlineStr">
        <is>
          <t>An enzyme discovery paper, not a variant library: a BLAST and phylogenetic survey identifying CYP204 family members, with structures, docking and MD. The figshare deposit holds RESP fitting and MD simulation inputs. Homolog panel, so no shared wild type and no mutant column, the shape that also sank the Cas12a orthologs and the PET hydrolase panel.</t>
        </is>
      </c>
    </row>
    <row r="70">
      <c r="A70" s="11" t="inlineStr">
        <is>
          <t>69</t>
        </is>
      </c>
      <c r="B70" s="11" t="inlineStr">
        <is>
          <t>Microfluidic ultrahigh-throughput ketoreductase screen</t>
        </is>
      </c>
      <c r="C70" s="11" t="inlineStr">
        <is>
          <t>10.1021/acs.analchem.5c01029</t>
        </is>
      </c>
      <c r="D70" s="11" t="inlineStr">
        <is>
          <t>Thirteenth sweep (droplet / ultrahigh-throughput axis)</t>
        </is>
      </c>
      <c r="E70" s="11" t="inlineStr">
        <is>
          <t>A discovery screen over natural ketoreductase diversity rather than a mutant library of one parent, and the full text carries no data availability statement. Same shape as the P450 paper above.</t>
        </is>
      </c>
    </row>
    <row r="71">
      <c r="A71" s="11" t="inlineStr">
        <is>
          <t>70</t>
        </is>
      </c>
      <c r="B71" s="11" t="inlineStr">
        <is>
          <t>Electrostatic reactivity scoring in computer-assisted enzyme engineering (BindScan)</t>
        </is>
      </c>
      <c r="C71" s="11" t="inlineStr">
        <is>
          <t>10.1111/febs.70121</t>
        </is>
      </c>
      <c r="D71" s="11" t="inlineStr">
        <is>
          <t>Fourteenth sweep (computational design vocabulary)</t>
        </is>
      </c>
      <c r="E71" s="11" t="inlineStr">
        <is>
          <t>Opened because Table S3 holds kcat, KM and kcat/KM for 51 mutants of Sf-beta-glycosidase across 37 positions, which would clear the floor. But those 51 are a benchmark dataset taken from reference [47], an earlier publication; this paper's own contribution is the BindScan metric and a 2,900-variant *virtual* saturation library that was never made. Curating it would attribute another laboratory's measurements to this DOI. The underlying reference is the thing worth chasing if single-enzyme kinetic panels are ever in scope, and it is not a 2025 paper.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row r="41">
      <c r="A41" s="16" t="inlineStr">
        <is>
          <t>40</t>
        </is>
      </c>
      <c r="B41" s="16" t="inlineStr">
        <is>
          <t>Munch 2025 (MthUPO FuncLib designs)</t>
        </is>
      </c>
      <c r="C41" s="16" t="inlineStr">
        <is>
          <t>10.1021/acscatal.5c02412</t>
        </is>
      </c>
      <c r="D41" s="16" t="inlineStr">
        <is>
          <t>8</t>
        </is>
      </c>
      <c r="E41" s="16" t="inlineStr">
        <is>
          <t>The ABTS, DMP and NBD model-substrate screens; the splitGFP screen; the per-product selectivity fractions</t>
        </is>
      </c>
      <c r="F41" s="16" t="inlineStr">
        <is>
          <t>The three model-substrate screens are keyed by microplate well (A1, B7, ...) rather than by design, so mapping them to variants needs the plate-scheme cross-walk in the same workbook; not attempted, and a wrong cross-walk would mislabel every row silently. splitGFP measures expression, not activity. The regio- and stereoselectivity fractions beside each substrate's activity are a different quantity and would want their own directory -- they are the paper's most striking result (regioselectivity for 3-hydroxy-beta-damascone rising from 3% to 46%), so this is the more interesting omission of the two.</t>
        </is>
      </c>
      <c r="G41" s="16" t="inlineStr">
        <is>
          <t>n/a -- found on curation 2026-09-07</t>
        </is>
      </c>
      <c r="H41" s="16" t="inlineStr">
        <is>
          <t>The selectivity fractions are the obvious follow-up if a Selectivity/Regioselectivity directory is ever wanted; datasets/Selectivity/ already exists for diastereoselectivity.</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TEV protease engineered by enzyme-substrate co-display on yeast</t>
        </is>
      </c>
      <c r="C2" s="3" t="inlineStr">
        <is>
          <t>10.1093/protein/gzaf011</t>
        </is>
      </c>
      <c r="D2" s="3" t="inlineStr">
        <is>
          <t>Twelfth sweep (OA filter removed)</t>
        </is>
      </c>
      <c r="E2" s="3" t="inlineStr">
        <is>
          <t>Yeast surface display co-presenting protease mutants with their substrate, so activity is read by loss of an epitope tag under flow cytometry. A protease is in scope and the method is library-scale on its face.</t>
        </is>
      </c>
      <c r="F2" s="3" t="inlineStr">
        <is>
          <t>No action needed yet. PMC13010152 is already assigned but live:False -- it is under embargo and will become fetchable on its own. Re-check rather than chase.</t>
        </is>
      </c>
    </row>
    <row r="3">
      <c r="A3" s="3" t="inlineStr">
        <is>
          <t>2</t>
        </is>
      </c>
      <c r="B3" s="3" t="inlineStr">
        <is>
          <t>FuncLib-stabilised Kemp eliminase (computational design + NMR hotspots)</t>
        </is>
      </c>
      <c r="C3" s="3" t="inlineStr">
        <is>
          <t>10.1021/jacs.4c09428</t>
        </is>
      </c>
      <c r="D3" s="3" t="inlineStr">
        <is>
          <t>Fourteenth sweep (computational design vocabulary)</t>
        </is>
      </c>
      <c r="E3" s="3" t="inlineStr">
        <is>
          <t>A designed de novo Kemp eliminase (the V4 background) with FuncLib-predicted stabilising combinations at NMR-identified catalytic hotspots. Michaelis profiles -- kcat, KM, kcat/KM -- were determined for the 20 top-ranked variants, and denaturation temperatures alongside, so there are two or three readouts on one parent. Open access, PMC12151457, with supplementary tables and a Zenodo package for the simulation inputs.</t>
        </is>
      </c>
      <c r="F3" s="3" t="inlineStr">
        <is>
          <t>Exactly at the 20-variant floor, not above it, and the numbers live in supporting-information PDF tables rather than a machine-readable file. The combinatorial library spanned 8,000 variants and about 800 were colony-screened, but only those 20 were quantified, so the large numbers in the abstract do not translate into rows. Left open rather than rejected because it is genuinely at the boundary: worth taking only if a 20-variant designed panel with real kinetics is judged worth the extraction effort.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2026-09-07T08:28:11Z</dcterms:modified>
</cp:coreProperties>
</file>