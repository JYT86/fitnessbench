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7">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21</v>
      </c>
    </row>
    <row r="5">
      <c r="A5" s="4" t="inlineStr">
        <is>
          <t>Datasets shipped</t>
        </is>
      </c>
      <c r="B5" s="4" t="n">
        <v>157</v>
      </c>
    </row>
    <row r="6">
      <c r="A6" s="4" t="inlineStr">
        <is>
          <t>Total variants across all shipped datasets</t>
        </is>
      </c>
      <c r="B6" s="4" t="n">
        <v>607715</v>
      </c>
    </row>
    <row r="7">
      <c r="A7" s="4" t="inlineStr">
        <is>
          <t>Papers/items explicitly rejected, with a recorded reason</t>
        </is>
      </c>
      <c r="B7" s="4" t="n">
        <v>61</v>
      </c>
    </row>
    <row r="8">
      <c r="A8" s="4" t="inlineStr">
        <is>
          <t>Papers left open ("maybe" — not curated, not rejected)</t>
        </is>
      </c>
      <c r="B8" s="4" t="n">
        <v>6</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92</v>
      </c>
      <c r="C13" s="5" t="n">
        <v>123283</v>
      </c>
      <c r="D13" s="5" t="n">
        <v>8</v>
      </c>
      <c r="E13" s="5" t="inlineStr">
        <is>
          <t>SpCas9 (PAMmla), RbcL, McbA, CjPglB, SaAmd, LbCas12a, YmPhytase, CymR</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15</v>
      </c>
      <c r="C18" s="5" t="n">
        <v>63420</v>
      </c>
      <c r="D18" s="5" t="n">
        <v>3</v>
      </c>
      <c r="E18" s="5" t="inlineStr">
        <is>
          <t>MET kinase domain, SHP2, myoglobin</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n">
        <v>1</v>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n">
        <v>2</v>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n">
        <v>3</v>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n">
        <v>4</v>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n">
        <v>5</v>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n">
        <v>6</v>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n">
        <v>7</v>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n">
        <v>8</v>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n">
        <v>9</v>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n">
        <v>10</v>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n">
        <v>11</v>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n">
        <v>12</v>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n">
        <v>13</v>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n">
        <v>14</v>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n">
        <v>15</v>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n">
        <v>16</v>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n">
        <v>17</v>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Jansen</t>
        </is>
      </c>
      <c r="C20" s="9" t="inlineStr">
        <is>
          <t>2026</t>
        </is>
      </c>
      <c r="D20" s="9" t="inlineStr">
        <is>
          <t>Nucleic Acids Res</t>
        </is>
      </c>
      <c r="E20" s="9" t="inlineStr">
        <is>
          <t>Mapping the phenotypic landscape of a transcriptional repressor using deep mutational scanning and growth-based quantitative sequencing</t>
        </is>
      </c>
      <c r="F20" s="9" t="inlineStr">
        <is>
          <t>10.1093/nar/gkag206</t>
        </is>
      </c>
      <c r="G20" s="9" t="inlineStr">
        <is>
          <t>datasets</t>
        </is>
      </c>
      <c r="H20" s="9" t="inlineStr">
        <is>
          <t>3</t>
        </is>
      </c>
      <c r="I20" s="9" t="inlineStr">
        <is>
          <t>28671</t>
        </is>
      </c>
      <c r="J20" s="9" t="inlineStr">
        <is>
          <t>CymR (TetR family, Pseudomonas putida), 203 aa, assayed as the S110G/A171V engineered parent. 9,557 substitution variants (singles through octuples) per dataset, one per ligand: perillic acid, perillyl alcohol, S-limonene. Readout is log10 fold induction Ginf/G0 from a Hill fit. First use of Activity/TranscriptionalRegulation/. The 11,671 insertion and deletion variants are out of format.</t>
        </is>
      </c>
    </row>
    <row r="21">
      <c r="A21" s="9" t="inlineStr">
        <is>
          <t>20</t>
        </is>
      </c>
      <c r="B21" s="9" t="inlineStr">
        <is>
          <t>Kung</t>
        </is>
      </c>
      <c r="C21" s="9" t="inlineStr">
        <is>
          <t>2025</t>
        </is>
      </c>
      <c r="D21" s="9" t="inlineStr">
        <is>
          <t>Protein Sci</t>
        </is>
      </c>
      <c r="E21" s="9" t="inlineStr">
        <is>
          <t>Deep mutational scanning reveals a de novo disulfide bond and combinatorial mutations for engineering thermostable myoglobin</t>
        </is>
      </c>
      <c r="F21" s="9" t="inlineStr">
        <is>
          <t>10.1002/pro.70112</t>
        </is>
      </c>
      <c r="G21" s="9" t="inlineStr">
        <is>
          <t>datasets_human</t>
        </is>
      </c>
      <c r="H21" s="9" t="inlineStr">
        <is>
          <t>1</t>
        </is>
      </c>
      <c r="I21" s="9" t="inlineStr">
        <is>
          <t>2350</t>
        </is>
      </c>
      <c r="J21" s="9" t="inlineStr">
        <is>
          <t>Human myoglobin (hMb), 154 aa, identical to UniProt P02144. 2,350 missense variants covering all 154 positions, by yeast surface display and FACS. Readout is the expression fitness score (display level), which the paper validates as a thermostability proxy. First use of Expression/SurfaceDisplay/. Labels were renumbered by -136 off the Aga2p fusion construct. The 109 synonymous variants encode wild-type protein and collapse into the WT row.</t>
        </is>
      </c>
    </row>
    <row r="22">
      <c r="A22" s="9" t="inlineStr">
        <is>
          <t>21</t>
        </is>
      </c>
      <c r="B22" s="9" t="inlineStr">
        <is>
          <t>Jiang</t>
        </is>
      </c>
      <c r="C22" s="9" t="inlineStr">
        <is>
          <t>2026</t>
        </is>
      </c>
      <c r="D22" s="9" t="inlineStr">
        <is>
          <t>Nucleic Acids Res</t>
        </is>
      </c>
      <c r="E22" s="9" t="inlineStr">
        <is>
          <t>Deep learning-guided dual-fitness evolution of T7 RNA polymerase for enhanced stability and activity</t>
        </is>
      </c>
      <c r="F22" s="9" t="inlineStr">
        <is>
          <t>10.1093/nar/gkag259</t>
        </is>
      </c>
      <c r="G22" s="9" t="inlineStr">
        <is>
          <t>datasets_virus</t>
        </is>
      </c>
      <c r="H22" s="9" t="inlineStr">
        <is>
          <t>2</t>
        </is>
      </c>
      <c r="I22" s="9" t="inlineStr">
        <is>
          <t>328</t>
        </is>
      </c>
      <c r="J22"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3">
      <c r="A23" s="10" t="inlineStr">
        <is>
          <t>TOTAL</t>
        </is>
      </c>
      <c r="B23" s="4" t="n"/>
      <c r="C23" s="4" t="n"/>
      <c r="D23" s="4" t="n"/>
      <c r="E23" s="4" t="n"/>
      <c r="F23" s="4" t="n"/>
      <c r="G23" s="4" t="n"/>
      <c r="H23" s="10">
        <f>SUM(H2:H22)</f>
        <v/>
      </c>
      <c r="I23" s="10">
        <f>SUM(I2:I22)</f>
        <v/>
      </c>
      <c r="J23"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2"/>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12" t="inlineStr">
        <is>
          <t>1</t>
        </is>
      </c>
      <c r="B2" s="12" t="inlineStr">
        <is>
          <t>Class A beta-lactamase gatekeeper-residue screen (5 enzymes)</t>
        </is>
      </c>
      <c r="C2" s="12" t="inlineStr">
        <is>
          <t>10.1016/j.jbc.2025.110347</t>
        </is>
      </c>
      <c r="D2" s="12" t="inlineStr">
        <is>
          <t>Directed-evolution sweep</t>
        </is>
      </c>
      <c r="E2" s="12" t="inlineStr">
        <is>
          <t>Genuine deep-sequencing fitness data in a legacy .xls (needs xlrd): site saturation of Ambler position 105 in BlaC, CTX-M-14, KPC-2, NmcA, TEM-1, each vs. 7 substrates/inhibitors, 3 replicates, raw counts and per-replicate fitness values -- not just a figure.</t>
        </is>
      </c>
      <c r="F2" s="12" t="inlineStr">
        <is>
          <t>Single saturated position per enzyme: 19 substitutions + WT, one row under this branch's usual floor. Worth a second look if the bar is 'genuine deep-sequencing data' rather than 'library-scale'.</t>
        </is>
      </c>
    </row>
    <row r="3">
      <c r="A3" s="12" t="inlineStr">
        <is>
          <t>2</t>
        </is>
      </c>
      <c r="B3" s="12" t="inlineStr">
        <is>
          <t>Tryptophan decarboxylase (TDC) active-site recombination (SUMS)</t>
        </is>
      </c>
      <c r="C3" s="12" t="inlineStr">
        <is>
          <t>10.1002/pro.70356</t>
        </is>
      </c>
      <c r="D3" s="12" t="inlineStr">
        <is>
          <t>Directed-evolution sweep</t>
        </is>
      </c>
      <c r="E3" s="12" t="inlineStr">
        <is>
          <t>Substrate-multiplexed screening across 5 active-site positions; a clean prior single-site-saturation sub-library (96 unique single mutants) plus iterative combinatorial recombination libraries (~250 variants total, up to triple mutants, LC-MS-quantified). Multi-site labels are within format scope.</t>
        </is>
      </c>
      <c r="F3" s="12" t="inlineStr">
        <is>
          <t>Data availability is 'upon reasonable request' -- nothing machine-readable found in the supplement. Needs an email to the authors.</t>
        </is>
      </c>
    </row>
    <row r="4">
      <c r="A4" s="12" t="inlineStr">
        <is>
          <t>3</t>
        </is>
      </c>
      <c r="B4" s="12" t="inlineStr">
        <is>
          <t>Yeast-display A-beta-fibril conformational antibody campaign</t>
        </is>
      </c>
      <c r="C4" s="12" t="inlineStr">
        <is>
          <t>10.3389/fimmu.2025.1655893</t>
        </is>
      </c>
      <c r="D4" s="12" t="inlineStr">
        <is>
          <t>Directed-evolution sweep</t>
        </is>
      </c>
      <c r="E4" s="12" t="inlineStr">
        <is>
          <t>Real NGS sort-round data deposited on GitHub (Tessier-Lab-UMich/druglike-abeta-antibodies): CDR-sequence frequency tables for a defined 10-site NNK library (5 in HCDR1, 5 in LCDR2) built off a named parent antibody ('clone 97').</t>
        </is>
      </c>
      <c r="F4" s="12" t="inlineStr">
        <is>
          <t>Needs clone 97's parent CDR sequence from a different, earlier paper, and working out which numbered file per replicate is 'before' vs. 'after' selection -- not safe to guess at.</t>
        </is>
      </c>
    </row>
    <row r="5">
      <c r="A5" s="12" t="inlineStr">
        <is>
          <t>4</t>
        </is>
      </c>
      <c r="B5" s="12" t="inlineStr">
        <is>
          <t>Echinocandin resistance in S. cerevisiae -- Fks1 hotspot DMS</t>
        </is>
      </c>
      <c r="C5" s="12" t="inlineStr">
        <is>
          <t>10.1093/genetics/iyag055</t>
        </is>
      </c>
      <c r="D5" s="12" t="inlineStr">
        <is>
          <t>Eighth sweep (2026)</t>
        </is>
      </c>
      <c r="E5" s="12" t="inlineStr">
        <is>
          <t>465 single substitutions across three Fks1 hotspots, bulk-competition DMS with selection coefficients, against anidulafungin, caspofungin and micafungin plus a no-drug control -- four conditions on one WT.</t>
        </is>
      </c>
      <c r="F5" s="12" t="inlineStr">
        <is>
          <t>No formal data-availability statement in the full text. The selection coefficients are presumably in the eleven supplementary tables, but that is a Phase 0 chase, not a decided fact.</t>
        </is>
      </c>
    </row>
    <row r="6">
      <c r="A6" s="12" t="inlineStr">
        <is>
          <t>5</t>
        </is>
      </c>
      <c r="B6" s="12" t="inlineStr">
        <is>
          <t>Vanella 2024 -- the EP-Seq activity-stability paper behind Vanella 2026</t>
        </is>
      </c>
      <c r="C6" s="12" t="inlineStr">
        <is>
          <t>10.1038/s41467-024-45630-3</t>
        </is>
      </c>
      <c r="D6" s="12" t="inlineStr">
        <is>
          <t>Eighth sweep (2026), found while curating Vanella 2026</t>
        </is>
      </c>
      <c r="E6" s="12" t="inlineStr">
        <is>
          <t>Same DAOx construct as the shipped Vanella 2026 datasets, so Phase 3 is already settled: 365 aa, P80324 1-365, confirmed from the plasmid at Zenodo 10.5281/zenodo.8388902. It is also the paper that actually measured the surface-display expression scores excluded from Vanella 2026, so curating it gives that data a legitimate home under its own authors. Activity-stability tradeoff framing suggests both an activity and a stability readout.</t>
        </is>
      </c>
      <c r="F6" s="12" t="inlineStr">
        <is>
          <t>Not chased yet. Its supplementary bundle and Zenodo deposit were downloaded during the Vanella 2026 work (record 8388902 includes a 2 GB PacBio FASTQ and a 14 GB Illumina zip -- filter by size). Needs Phase 0-1 from the top.</t>
        </is>
      </c>
    </row>
    <row r="7">
      <c r="A7" s="12" t="inlineStr">
        <is>
          <t>6</t>
        </is>
      </c>
      <c r="B7" s="12" t="inlineStr">
        <is>
          <t>Form II rubisco fitness landscape (Gallionella sp.)</t>
        </is>
      </c>
      <c r="C7" s="12" t="inlineStr">
        <is>
          <t>10.1126/sciadv.aee9222</t>
        </is>
      </c>
      <c r="D7" s="12" t="inlineStr">
        <is>
          <t>Tenth sweep (enzyme, never-swept journals)</t>
        </is>
      </c>
      <c r="E7" s="12" t="inlineStr">
        <is>
          <t>Best candidate of the tenth sweep. A barcoded library of 15,000 single-site and multi-site variants scored by growth-coupled selection in Synechocystis sp. PCC 6803 -- one wild type, bacterial, far above the floor, and a second rubisco to sit beside Wysocki's RbcL.</t>
        </is>
      </c>
      <c r="F7" s="12" t="inlineStr">
        <is>
          <t>Unreachable from here: Europe PMC has the record but inEPMC:'N', hasSuppl:'N', subscription only. Needs the article and its supplement dropped in by hand.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2026-09-06T07:11:13Z</dcterms:modified>
</cp:coreProperties>
</file>