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Partial rejections" sheetId="4" state="visible" r:id="rId4"/>
    <sheet xmlns:r="http://schemas.openxmlformats.org/officeDocument/2006/relationships" name="Open (maybes)" sheetId="5" state="visible" r:id="rId5"/>
  </sheets>
  <definedNames>
    <definedName name="_xlnm._FilterDatabase" localSheetId="3" hidden="1">'Partial rejections'!$A$1:$H$38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18</v>
      </c>
    </row>
    <row r="5">
      <c r="A5" s="4" t="inlineStr">
        <is>
          <t>Datasets shipped</t>
        </is>
      </c>
      <c r="B5" s="4" t="n">
        <v>149</v>
      </c>
    </row>
    <row r="6">
      <c r="A6" s="4" t="inlineStr">
        <is>
          <t>Total variants across all shipped datasets</t>
        </is>
      </c>
      <c r="B6" s="4" t="n">
        <v>575880</v>
      </c>
    </row>
    <row r="7">
      <c r="A7" s="4" t="inlineStr">
        <is>
          <t>Papers/items explicitly rejected, with a recorded reason</t>
        </is>
      </c>
      <c r="B7" s="4" t="n">
        <v>59</v>
      </c>
    </row>
    <row r="8">
      <c r="A8" s="4" t="inlineStr">
        <is>
          <t>Papers left open ("maybe" — not curated, not rejected)</t>
        </is>
      </c>
      <c r="B8" s="4" t="n">
        <v>5</v>
      </c>
    </row>
    <row r="9">
      <c r="A9" s="4" t="inlineStr">
        <is>
          <t>Search sweeps run</t>
        </is>
      </c>
      <c r="B9" s="4" t="n">
        <v>10</v>
      </c>
    </row>
    <row r="10">
      <c r="A10" s="8" t="inlineStr">
        <is>
          <t>Items excluded inside a curated paper (see 'Partial rejections')</t>
        </is>
      </c>
      <c r="B10" s="8" t="n">
        <v>37</v>
      </c>
    </row>
    <row r="11" ht="30" customHeight="1"/>
    <row r="12">
      <c r="A12" s="3" t="inlineStr">
        <is>
          <t>Source-organism category</t>
        </is>
      </c>
      <c r="B12" s="3" t="inlineStr">
        <is>
          <t>Datasets</t>
        </is>
      </c>
      <c r="C12" s="3" t="inlineStr">
        <is>
          <t>Variants</t>
        </is>
      </c>
      <c r="D12" s="3" t="inlineStr">
        <is>
          <t>Papers</t>
        </is>
      </c>
      <c r="E12" s="3" t="inlineStr">
        <is>
          <t>Example proteins</t>
        </is>
      </c>
    </row>
    <row r="13">
      <c r="A13" s="5" t="inlineStr">
        <is>
          <t>Bacteria</t>
        </is>
      </c>
      <c r="B13" s="5" t="n">
        <v>87</v>
      </c>
      <c r="C13" s="5" t="n">
        <v>94126</v>
      </c>
      <c r="D13" s="5" t="n">
        <v>7</v>
      </c>
      <c r="E13" s="5" t="inlineStr">
        <is>
          <t>SpCas9 (PAMmla), RbcL, McbA, CjPglB, SaAmd, LbCas12a, YmPhytase</t>
        </is>
      </c>
    </row>
    <row r="14">
      <c r="A14" s="5" t="inlineStr">
        <is>
          <t>Archaea</t>
        </is>
      </c>
      <c r="B14" s="5" t="n">
        <v>5</v>
      </c>
      <c r="C14" s="5" t="n">
        <v>1753</v>
      </c>
      <c r="D14" s="5" t="n">
        <v>4</v>
      </c>
      <c r="E14" s="5" t="inlineStr">
        <is>
          <t>ParLQ, PylRS (IFRS), pCNFRS, Tgo-D4K polymerase</t>
        </is>
      </c>
    </row>
    <row r="15">
      <c r="A15" s="5" t="inlineStr">
        <is>
          <t>Yeast / fungi</t>
        </is>
      </c>
      <c r="B15" s="5" t="n">
        <v>14</v>
      </c>
      <c r="C15" s="5" t="n">
        <v>147603</v>
      </c>
      <c r="D15" s="5" t="n">
        <v>2</v>
      </c>
      <c r="E15" s="5" t="inlineStr">
        <is>
          <t>RNA Pol II Rpb1 (S. cerevisiae), DAOx (Rhodotorula gracilis)</t>
        </is>
      </c>
    </row>
    <row r="16">
      <c r="A16" s="5" t="inlineStr">
        <is>
          <t>Plants</t>
        </is>
      </c>
      <c r="B16" s="5" t="n">
        <v>2</v>
      </c>
      <c r="C16" s="5" t="n">
        <v>725</v>
      </c>
      <c r="D16" s="5" t="n">
        <v>2</v>
      </c>
      <c r="E16" s="5" t="inlineStr">
        <is>
          <t>AtHMT, CONSTANS (A. thaliana)</t>
        </is>
      </c>
    </row>
    <row r="17">
      <c r="A17" s="5" t="inlineStr">
        <is>
          <t>Viruses (incl. bacteriophage)</t>
        </is>
      </c>
      <c r="B17" s="5" t="n">
        <v>25</v>
      </c>
      <c r="C17" s="5" t="n">
        <v>270545</v>
      </c>
      <c r="D17" s="5" t="n">
        <v>4</v>
      </c>
      <c r="E17" s="5" t="inlineStr">
        <is>
          <t>TEV protease, influenza NEP, T7 RNA polymerase, Con1 (designed potyviral consensus)</t>
        </is>
      </c>
    </row>
    <row r="18">
      <c r="A18" s="5" t="inlineStr">
        <is>
          <t>Human</t>
        </is>
      </c>
      <c r="B18" s="5" t="n">
        <v>14</v>
      </c>
      <c r="C18" s="5" t="n">
        <v>61070</v>
      </c>
      <c r="D18" s="5" t="n">
        <v>2</v>
      </c>
      <c r="E18" s="5" t="inlineStr">
        <is>
          <t>MET kinase domain, SHP2</t>
        </is>
      </c>
    </row>
    <row r="19">
      <c r="A19" s="5" t="inlineStr">
        <is>
          <t>Other (animal-derived)</t>
        </is>
      </c>
      <c r="B19" s="5" t="n">
        <v>2</v>
      </c>
      <c r="C19" s="5" t="n">
        <v>58</v>
      </c>
      <c r="D19" s="5" t="n">
        <v>1</v>
      </c>
      <c r="E19" s="5" t="inlineStr">
        <is>
          <t>VHH nanobody, camelid-derived</t>
        </is>
      </c>
    </row>
    <row r="20">
      <c r="A20" s="6" t="inlineStr">
        <is>
          <t xml:space="preserve">  Subtotal: Prokaryotes (Bacteria + Archaea)</t>
        </is>
      </c>
      <c r="B20" s="6" t="n">
        <v>92</v>
      </c>
      <c r="C20" s="6" t="n">
        <v>95879</v>
      </c>
      <c r="D20" s="5" t="n"/>
      <c r="E20" s="5" t="n"/>
    </row>
    <row r="21">
      <c r="A21" s="6" t="inlineStr">
        <is>
          <t xml:space="preserve">  Subtotal: Eukaryotes, non-human (Yeast/fungi + Plants + Other)</t>
        </is>
      </c>
      <c r="B21" s="6" t="n">
        <v>18</v>
      </c>
      <c r="C21" s="6" t="n">
        <v>148386</v>
      </c>
      <c r="D21" s="5" t="n"/>
      <c r="E21" s="5" t="n"/>
    </row>
    <row r="22" ht="60" customHeight="1">
      <c r="A22" s="7" t="inlineStr">
        <is>
          <t>TOTAL</t>
        </is>
      </c>
      <c r="B22">
        <f>SUM(B13:B19)</f>
        <v/>
      </c>
      <c r="C22">
        <f>SUM(C13:C19)</f>
        <v/>
      </c>
    </row>
    <row r="23">
      <c r="A23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/>
    <row r="25">
      <c r="A25" s="3" t="inlineStr">
        <is>
          <t>Sweep</t>
        </is>
      </c>
      <c r="B25" s="3" t="inlineStr">
        <is>
          <t>What it searched</t>
        </is>
      </c>
      <c r="C25" s="3" t="inlineStr">
        <is>
          <t>Venue coverage</t>
        </is>
      </c>
      <c r="D25" s="3" t="n"/>
      <c r="E25" s="3" t="n"/>
    </row>
    <row r="26">
      <c r="A26" s="5" t="inlineStr">
        <is>
          <t>First sweep</t>
        </is>
      </c>
      <c r="B26" s="5" t="inlineStr">
        <is>
          <t>"machine learning guided enzyme engineering" (+/- organism)</t>
        </is>
      </c>
      <c r="C26" s="5" t="inlineStr">
        <is>
          <t>nature.com, 2025</t>
        </is>
      </c>
    </row>
    <row r="27">
      <c r="A27" s="5" t="inlineStr">
        <is>
          <t>Second sweep</t>
        </is>
      </c>
      <c r="B27" s="5" t="inlineStr">
        <is>
          <t>Same query, organism clause dropped</t>
        </is>
      </c>
      <c r="C27" s="5" t="inlineStr">
        <is>
          <t>Springer Nature via Europe PMC, 2025</t>
        </is>
      </c>
    </row>
    <row r="28">
      <c r="A28" s="5" t="inlineStr">
        <is>
          <t>Third sweep</t>
        </is>
      </c>
      <c r="B28" s="5" t="inlineStr">
        <is>
          <t>"deep mutational scanning" / "variant effect map" / "massively parallel mutagenesis" / "site-saturation mutagenesis"</t>
        </is>
      </c>
      <c r="C28" s="5" t="inlineStr">
        <is>
          <t>All publishers via Europe PMC, 2025, open access</t>
        </is>
      </c>
    </row>
    <row r="29">
      <c r="A29" s="5" t="inlineStr">
        <is>
          <t>Fourth sweep (ACS) -- SUPERSEDED</t>
        </is>
      </c>
      <c r="B29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9" s="5" t="inlineStr">
        <is>
          <t>ACS Catal, ACS Cent Sci, ACS Synth Biol, JACS, Biochemistry, 2025, open access</t>
        </is>
      </c>
    </row>
    <row r="30">
      <c r="A30" s="5" t="inlineStr">
        <is>
          <t>Fifth sweep (PNAS)</t>
        </is>
      </c>
      <c r="B30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30" s="5" t="inlineStr">
        <is>
          <t>PNAS, 2025, open access</t>
        </is>
      </c>
    </row>
    <row r="31">
      <c r="A31" s="5" t="inlineStr">
        <is>
          <t>Sixth sweep (Cell Press)</t>
        </is>
      </c>
      <c r="B31" s="5" t="inlineStr">
        <is>
          <t>Title-matched across the full journal family (43 hits) -- almost entirely clinical-ML iScience papers with no connection to protein engineering, so no separate abstract pass was run.</t>
        </is>
      </c>
      <c r="C31" s="5" t="inlineStr">
        <is>
          <t>Cell, Mol Cell, Cell Chem Biol, Cell Systems, Structure, Cell Host &amp; Microbe, Immunity, Curr Biol, Chem, iScience, Cell Rep Methods, Cell Rep Phys Sci</t>
        </is>
      </c>
    </row>
    <row r="32">
      <c r="A32" s="5" t="inlineStr">
        <is>
          <t>Seventh sweep (ACS, redone)</t>
        </is>
      </c>
      <c r="B32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2" s="5" t="inlineStr">
        <is>
          <t>ACS Catal, ACS Cent Sci, ACS Synth Biol, JACS, Biochemistry, 2025</t>
        </is>
      </c>
    </row>
    <row r="33">
      <c r="A33" s="5" t="inlineStr">
        <is>
          <t>Directed-evolution sweep</t>
        </is>
      </c>
      <c r="B33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3" s="5" t="inlineStr">
        <is>
          <t>All publishers via Europe PMC, 2025, journals only (no bioRxiv)</t>
        </is>
      </c>
    </row>
    <row r="34" ht="45" customHeight="1">
      <c r="A34" s="5" t="inlineStr">
        <is>
          <t>Eighth sweep (2026)</t>
        </is>
      </c>
      <c r="B34" s="5" t="inlineStr">
        <is>
          <t>The first sweep of a year other than 2025, run 2026-09-04. Two Europe PMC queries: ABSTRACT:("deep mutational scanning" OR "site-saturation mutagenesis" OR "variant effect map") -- 66 hits; and ABSTRACT:("enzyme engineering" OR "protein engineering" OR "machine learning-guided") AND ABSTRACT:"variants" -- 45 hits. Both relevance-ordered and read to pageSize 40, so a top slice rather than an enumeration; the third, sixth and seventh sweeps are worth re-running verbatim against 2026.</t>
        </is>
      </c>
      <c r="C34" s="5" t="inlineStr">
        <is>
          <t>All publishers via Europe PMC, 2026, open access, journals only</t>
        </is>
      </c>
    </row>
    <row r="35">
      <c r="A35" s="5" t="inlineStr">
        <is>
          <t>Ninth sweep (display axis)</t>
        </is>
      </c>
      <c r="B35" s="17" t="n"/>
      <c r="C35" s="17" t="n"/>
      <c r="D35" s="17" t="n"/>
      <c r="E35" s="18" t="n"/>
    </row>
    <row r="37">
      <c r="A37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1:E1"/>
    <mergeCell ref="A23:E23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9</v>
      </c>
      <c r="I5" s="9" t="n">
        <v>10909</v>
      </c>
      <c r="J5" s="9" t="inlineStr">
        <is>
          <t>McbA amide synthetase; conversion of 9 pharmaceuticals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2</v>
      </c>
      <c r="I7" s="9" t="n">
        <v>931</v>
      </c>
      <c r="J7" s="9" t="inlineStr">
        <is>
          <t>AtHMT methyltransferase (482) and YmPhytase phytase (449); all four rounds of each autonomous engineering campaign, singles through quadruples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9" t="inlineStr">
        <is>
          <t>18</t>
        </is>
      </c>
      <c r="B19" s="9" t="inlineStr">
        <is>
          <t>Vanella</t>
        </is>
      </c>
      <c r="C19" s="9" t="inlineStr">
        <is>
          <t>2026</t>
        </is>
      </c>
      <c r="D19" s="9" t="inlineStr">
        <is>
          <t>Nat Commun</t>
        </is>
      </c>
      <c r="E19" s="9" t="inlineStr">
        <is>
          <t>Decoding the substrate specificity landscape of a promiscuous enzyme through multi-substrate mutational scanning</t>
        </is>
      </c>
      <c r="F19" s="9" t="inlineStr">
        <is>
          <t>10.1038/s41467-026-69913-z</t>
        </is>
      </c>
      <c r="G19" s="9" t="inlineStr">
        <is>
          <t>datasets</t>
        </is>
      </c>
      <c r="H19" s="9" t="inlineStr">
        <is>
          <t>5</t>
        </is>
      </c>
      <c r="I19" s="9" t="inlineStr">
        <is>
          <t>29000</t>
        </is>
      </c>
      <c r="J19" s="9" t="inlineStr">
        <is>
          <t>D-amino acid oxidase (DAOx), Rhodotorula gracilis, 365 aa. One EP-Seq library of 5,800 single missense variants scored against five D-amino acid substrates, each at its Km -- one dataset per substrate. Readout is the source's expression-normalized activity fitness (WT = 1 by definition, no WT row).</t>
        </is>
      </c>
    </row>
    <row r="20">
      <c r="A20" s="10" t="inlineStr">
        <is>
          <t>TOTAL</t>
        </is>
      </c>
      <c r="B20" s="4" t="n"/>
      <c r="C20" s="4" t="n"/>
      <c r="D20" s="4" t="n"/>
      <c r="E20" s="4" t="n"/>
      <c r="F20" s="4" t="n"/>
      <c r="G20" s="4" t="n"/>
      <c r="H20" s="10">
        <f>SUM(H2:H19)</f>
        <v/>
      </c>
      <c r="I20" s="10">
        <f>SUM(I2:I19)</f>
        <v/>
      </c>
      <c r="J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  <row r="60">
      <c r="A60" s="11" t="inlineStr">
        <is>
          <t>59</t>
        </is>
      </c>
      <c r="B60" s="11" t="inlineStr">
        <is>
          <t>Urease functional and catalytic landscape (H. pylori UreB)</t>
        </is>
      </c>
      <c r="C60" s="11" t="inlineStr">
        <is>
          <t>10.1080/19490976.2026.2653575</t>
        </is>
      </c>
      <c r="D60" s="11" t="inlineStr">
        <is>
          <t>Eighth sweep (2026)</t>
        </is>
      </c>
      <c r="E60" s="11" t="inlineStr">
        <is>
          <t>58 alanine-scan point mutants clears the 20-variant floor, but the readouts are a spread of expression, growth, colonization and inhibitor-binding assays rather than one quantity measured across the panel, and the paper carries no data-availability statement at all. The separate 37-site phage-display library is not reported per variant.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10" customWidth="1" min="4" max="4"/>
    <col width="42" customWidth="1" min="5" max="5"/>
    <col width="52" customWidth="1" min="6" max="6"/>
    <col width="20" customWidth="1" min="7" max="7"/>
    <col width="72" customWidth="1" min="8" max="8"/>
  </cols>
  <sheetData>
    <row r="1">
      <c r="A1" s="3" t="inlineStr">
        <is>
          <t>#</t>
        </is>
      </c>
      <c r="B1" s="3" t="inlineStr">
        <is>
          <t>Paper</t>
        </is>
      </c>
      <c r="C1" s="3" t="inlineStr">
        <is>
          <t>DOI</t>
        </is>
      </c>
      <c r="D1" s="3" t="inlineStr">
        <is>
          <t>Datasets shipped</t>
        </is>
      </c>
      <c r="E1" s="3" t="inlineStr">
        <is>
          <t>Item excluded</t>
        </is>
      </c>
      <c r="F1" s="3" t="inlineStr">
        <is>
          <t>Reason recorded in remark</t>
        </is>
      </c>
      <c r="G1" s="3" t="inlineStr">
        <is>
          <t>Audit verdict (2026-08-27)</t>
        </is>
      </c>
      <c r="H1" s="3" t="inlineStr">
        <is>
          <t>Follow-up</t>
        </is>
      </c>
    </row>
    <row r="2">
      <c r="A2" s="13" t="n">
        <v>1</v>
      </c>
      <c r="B2" s="13" t="inlineStr">
        <is>
          <t>Zhang 2025 (IFRS, PylRS)</t>
        </is>
      </c>
      <c r="C2" s="13" t="inlineStr">
        <is>
          <t>10.1038/s41467-025-61952-2</t>
        </is>
      </c>
      <c r="D2" s="13" t="n">
        <v>1</v>
      </c>
      <c r="E2" s="13" t="inlineStr">
        <is>
          <t>Catalytic efficiency kcat/Km(tRNA)</t>
        </is>
      </c>
      <c r="F2" s="13" t="inlineStr">
        <is>
          <t>Reported for too few variants</t>
        </is>
      </c>
      <c r="G2" s="13" t="inlineStr">
        <is>
          <t>Not re-verified</t>
        </is>
      </c>
      <c r="H2" s="13" t="inlineStr">
        <is>
          <t>Fig. 4b/4d/4f source sheets hold 5-15 rows each, consistent with the claim; not counted variant by variant.</t>
        </is>
      </c>
    </row>
    <row r="3">
      <c r="A3" s="14" t="n">
        <v>2</v>
      </c>
      <c r="B3" s="14" t="inlineStr">
        <is>
          <t>Zhang 2025 (IFRS, PylRS)</t>
        </is>
      </c>
      <c r="C3" s="14" t="inlineStr">
        <is>
          <t>10.1038/s41467-025-61952-2</t>
        </is>
      </c>
      <c r="D3" s="14" t="n">
        <v>1</v>
      </c>
      <c r="E3" s="14" t="inlineStr">
        <is>
          <t>ncAA panel of Fig. 3</t>
        </is>
      </c>
      <c r="F3" s="14" t="inlineStr">
        <is>
          <t>Measures separate parent synthetases rather than one wild type</t>
        </is>
      </c>
      <c r="G3" s="14" t="inlineStr">
        <is>
          <t>Sound</t>
        </is>
      </c>
      <c r="H3" s="14" t="inlineStr"/>
    </row>
    <row r="4">
      <c r="A4" s="14" t="n">
        <v>3</v>
      </c>
      <c r="B4" s="14" t="inlineStr">
        <is>
          <t>Zhang 2025 (IFRS, PylRS)</t>
        </is>
      </c>
      <c r="C4" s="14" t="inlineStr">
        <is>
          <t>10.1038/s41467-025-61952-2</t>
        </is>
      </c>
      <c r="D4" s="14" t="n">
        <v>1</v>
      </c>
      <c r="E4" s="14" t="inlineStr">
        <is>
          <t>Myoglobin and multiple-amber constructs of Fig. 4</t>
        </is>
      </c>
      <c r="F4" s="14" t="inlineStr">
        <is>
          <t>Two or three variants each, under the 20-variant floor</t>
        </is>
      </c>
      <c r="G4" s="14" t="inlineStr">
        <is>
          <t>Sound</t>
        </is>
      </c>
      <c r="H4" s="14" t="inlineStr"/>
    </row>
    <row r="5">
      <c r="A5" s="14" t="n">
        <v>4</v>
      </c>
      <c r="B5" s="14" t="inlineStr">
        <is>
          <t>Huber 2025 (TEV protease)</t>
        </is>
      </c>
      <c r="C5" s="14" t="inlineStr">
        <is>
          <t>10.1038/s41467-025-60622-7</t>
        </is>
      </c>
      <c r="D5" s="14" t="n">
        <v>21</v>
      </c>
      <c r="E5" s="14" t="inlineStr">
        <is>
          <t>TEVs substrate landscapes</t>
        </is>
      </c>
      <c r="F5" s="14" t="inlineStr">
        <is>
          <t>The varying sequence is the seven-residue substrate motif, not the protease</t>
        </is>
      </c>
      <c r="G5" s="14" t="inlineStr">
        <is>
          <t>Sound</t>
        </is>
      </c>
      <c r="H5" s="14" t="inlineStr"/>
    </row>
    <row r="6">
      <c r="A6" s="14" t="n">
        <v>5</v>
      </c>
      <c r="B6" s="14" t="inlineStr">
        <is>
          <t>Huber 2025 (TEV protease)</t>
        </is>
      </c>
      <c r="C6" s="14" t="inlineStr">
        <is>
          <t>10.1038/s41467-025-60622-7</t>
        </is>
      </c>
      <c r="D6" s="14" t="n">
        <v>21</v>
      </c>
      <c r="E6" s="14" t="inlineStr">
        <is>
          <t>Panels of Fig. 1e, 3b, 4d, 4e</t>
        </is>
      </c>
      <c r="F6" s="14" t="inlineStr">
        <is>
          <t>Each covers fewer than twenty distinct protease genotypes</t>
        </is>
      </c>
      <c r="G6" s="14" t="inlineStr">
        <is>
          <t>Sound</t>
        </is>
      </c>
      <c r="H6" s="14" t="inlineStr">
        <is>
          <t>Confirmed: 6, 12, 5 and 5 distinct protease genotypes; the row counts are protease x substrate combinations.</t>
        </is>
      </c>
    </row>
    <row r="7">
      <c r="A7" s="15" t="n">
        <v>6</v>
      </c>
      <c r="B7" s="15" t="inlineStr">
        <is>
          <t>Huber 2025 (TEV protease)</t>
        </is>
      </c>
      <c r="C7" s="15" t="inlineStr">
        <is>
          <t>10.1038/s41467-025-60622-7</t>
        </is>
      </c>
      <c r="D7" s="15" t="n">
        <v>21</v>
      </c>
      <c r="E7" s="15" t="inlineStr">
        <is>
          <t>Panel of Fig. 3a</t>
        </is>
      </c>
      <c r="F7" s="15" t="inlineStr">
        <is>
          <t>Grouped with the above as fewer than twenty distinct protease genotypes</t>
        </is>
      </c>
      <c r="G7" s="15" t="inlineStr">
        <is>
          <t>Imprecise</t>
        </is>
      </c>
      <c r="H7" s="15" t="inlineStr">
        <is>
          <t>Fig. 3a is 2 positions x 20 amino acids = 40 distinct genotypes, above the floor. Almost certainly redundant with the shipped library (positions 171 and 176); worth one check before acting.</t>
        </is>
      </c>
    </row>
    <row r="8">
      <c r="A8" s="14" t="n">
        <v>7</v>
      </c>
      <c r="B8" s="14" t="inlineStr">
        <is>
          <t>Duan 2025 (RNA Pol II)</t>
        </is>
      </c>
      <c r="C8" s="14" t="inlineStr">
        <is>
          <t>10.1038/s41467-025-63304-6</t>
        </is>
      </c>
      <c r="D8" s="14" t="n">
        <v>9</v>
      </c>
      <c r="E8" s="14" t="inlineStr">
        <is>
          <t>(none recorded)</t>
        </is>
      </c>
      <c r="F8" s="14" t="inlineStr"/>
      <c r="G8" s="14" t="inlineStr">
        <is>
          <t>Sound</t>
        </is>
      </c>
      <c r="H8" s="14" t="inlineStr"/>
    </row>
    <row r="9">
      <c r="A9" s="16" t="n">
        <v>8</v>
      </c>
      <c r="B9" s="16" t="inlineStr">
        <is>
          <t>Landwehr 2025 (McbA)</t>
        </is>
      </c>
      <c r="C9" s="16" t="inlineStr">
        <is>
          <t>10.1038/s41467-024-55399-0</t>
        </is>
      </c>
      <c r="D9" s="16" t="n">
        <v>9</v>
      </c>
      <c r="E9" s="16" t="inlineStr">
        <is>
          <t>Four-site combinatorial training and test libraries on GitHub</t>
        </is>
      </c>
      <c r="F9" s="16" t="inlineStr">
        <is>
          <t>Measure a different library on the same enzyme</t>
        </is>
      </c>
      <c r="G9" s="16" t="inlineStr">
        <is>
          <t>SUPERSEDED 2026-09-05. The audit called this 'not a rejection reason' from the file listing alone. Opened: the nine *_train.xlsx files are 4-site single-mutant exports (4 x 19 + parent) whose sites all fall inside the shipped 64-residue screen and whose values match it 19/19 exactly -- ML training exports of data already curated, not a separate library. Only the two *_test.xlsx files hold new genotypes.</t>
        </is>
      </c>
      <c r="H9" s="16" t="inlineStr">
        <is>
          <t>The new genotypes are 243 moclobemide and 169 metoclopramide multi-site variants, but the GitHub scale is unrecoverable (shipped/github ratio 1.2-15.8). Use Source Data 'Fig 4a' (moclobemide, 243 distinct) and 'Fig4b' (metoclopramide, 243, a superset), whose 'Actual' column is min-max normalized to the best variant = 1 -- a different denominator from the shipped fold-vs-WT, so two new datasets, not extra rows. Awaiting a decision.</t>
        </is>
      </c>
    </row>
    <row r="10">
      <c r="A10" s="14" t="n">
        <v>9</v>
      </c>
      <c r="B10" s="14" t="inlineStr">
        <is>
          <t>Landwehr 2025 (McbA)</t>
        </is>
      </c>
      <c r="C10" s="14" t="inlineStr">
        <is>
          <t>10.1038/s41467-024-55399-0</t>
        </is>
      </c>
      <c r="D10" s="14" t="n">
        <v>9</v>
      </c>
      <c r="E10" s="14" t="inlineStr">
        <is>
          <t>Zero-shot prediction tables</t>
        </is>
      </c>
      <c r="F10" s="14" t="inlineStr">
        <is>
          <t>Computed rather than assayed</t>
        </is>
      </c>
      <c r="G10" s="14" t="inlineStr">
        <is>
          <t>Sound</t>
        </is>
      </c>
      <c r="H10" s="14" t="inlineStr"/>
    </row>
    <row r="11">
      <c r="A11" s="14" t="n">
        <v>10</v>
      </c>
      <c r="B11" s="14" t="inlineStr">
        <is>
          <t>Landwehr 2025 (McbA)</t>
        </is>
      </c>
      <c r="C11" s="14" t="inlineStr">
        <is>
          <t>10.1038/s41467-024-55399-0</t>
        </is>
      </c>
      <c r="D11" s="14" t="n">
        <v>9</v>
      </c>
      <c r="E11" s="14" t="inlineStr">
        <is>
          <t>Fig. 2b substrate scope</t>
        </is>
      </c>
      <c r="F11" s="14" t="inlineStr">
        <is>
          <t>Varies the reaction rather than the protein</t>
        </is>
      </c>
      <c r="G11" s="14" t="inlineStr">
        <is>
          <t>Sound</t>
        </is>
      </c>
      <c r="H11" s="14" t="inlineStr"/>
    </row>
    <row r="12">
      <c r="A12" s="14" t="n">
        <v>11</v>
      </c>
      <c r="B12" s="14" t="inlineStr">
        <is>
          <t>Yang 2025 (ALDE, ParLQ)</t>
        </is>
      </c>
      <c r="C12" s="14" t="inlineStr">
        <is>
          <t>10.1038/s41467-025-55987-8</t>
        </is>
      </c>
      <c r="D12" s="14" t="n">
        <v>2</v>
      </c>
      <c r="E12" s="14" t="inlineStr">
        <is>
          <t>trans-2a yield on its own</t>
        </is>
      </c>
      <c r="F12" s="14" t="inlineStr">
        <is>
          <t>No higher-is-better orientation; the paper treats more trans product as worse</t>
        </is>
      </c>
      <c r="G12" s="14" t="inlineStr">
        <is>
          <t>Sound</t>
        </is>
      </c>
      <c r="H12" s="14" t="inlineStr"/>
    </row>
    <row r="13">
      <c r="A13" s="14" t="n">
        <v>12</v>
      </c>
      <c r="B13" s="14" t="inlineStr">
        <is>
          <t>Yang 2025 (ALDE, ParLQ)</t>
        </is>
      </c>
      <c r="C13" s="14" t="inlineStr">
        <is>
          <t>10.1038/s41467-025-55987-8</t>
        </is>
      </c>
      <c r="D13" s="14" t="n">
        <v>2</v>
      </c>
      <c r="E13" s="14" t="inlineStr">
        <is>
          <t>Plate-normalized ALDE objective</t>
        </is>
      </c>
      <c r="F13" s="14" t="inlineStr">
        <is>
          <t>A restatement of the same pair of yields</t>
        </is>
      </c>
      <c r="G13" s="14" t="inlineStr">
        <is>
          <t>Sound</t>
        </is>
      </c>
      <c r="H13" s="14" t="inlineStr"/>
    </row>
    <row r="14">
      <c r="A14" s="14" t="n">
        <v>13</v>
      </c>
      <c r="B14" s="14" t="inlineStr">
        <is>
          <t>Yang 2025 (ALDE, ParLQ)</t>
        </is>
      </c>
      <c r="C14" s="14" t="inlineStr">
        <is>
          <t>10.1038/s41467-025-55987-8</t>
        </is>
      </c>
      <c r="D14" s="14" t="n">
        <v>2</v>
      </c>
      <c r="E14" s="14" t="inlineStr">
        <is>
          <t>Public benchmark landscapes used for simulation</t>
        </is>
      </c>
      <c r="F14" s="14" t="inlineStr">
        <is>
          <t>Belong to the publications that measured them</t>
        </is>
      </c>
      <c r="G14" s="14" t="inlineStr">
        <is>
          <t>Sound</t>
        </is>
      </c>
      <c r="H14" s="14" t="inlineStr"/>
    </row>
    <row r="15">
      <c r="A15" s="16" t="n">
        <v>14</v>
      </c>
      <c r="B15" s="16" t="inlineStr">
        <is>
          <t>Singh 2025 (AtHMT / YmPhytase)</t>
        </is>
      </c>
      <c r="C15" s="16" t="inlineStr">
        <is>
          <t>10.1038/s41467-025-61209-y</t>
        </is>
      </c>
      <c r="D15" s="16" t="n">
        <v>2</v>
      </c>
      <c r="E15" s="16" t="inlineStr">
        <is>
          <t>The whole YmPhytase campaign</t>
        </is>
      </c>
      <c r="F15" s="16" t="inlineStr">
        <is>
          <t>No sequence is given in the paper and no reference accession could be found, so its 180 round-one mutants cannot be placed on any sequence</t>
        </is>
      </c>
      <c r="G15" s="16" t="inlineStr">
        <is>
          <t>Wrong</t>
        </is>
      </c>
      <c r="H15" s="16" t="inlineStr">
        <is>
          <t>FIXED 2026-08-27. Supplementary Data 5 is titled "The DNA sequences for wild-type AtHMT and YmPhytase" in the Description of Additional Supplementary Files, and the Fig. 3 caption repeats the pointer. Its plasmid map gives a 434-aa ORF against which all 180 mutation labels verify at offset 0. Shipped as Singh 2025-ML-YmPhytase-catalyticactivity-relative_activity.csv, 181 variants.</t>
        </is>
      </c>
    </row>
    <row r="16">
      <c r="A16" s="16" t="n">
        <v>15</v>
      </c>
      <c r="B16" s="16" t="inlineStr">
        <is>
          <t>Singh 2025 (AtHMT / YmPhytase)</t>
        </is>
      </c>
      <c r="C16" s="16" t="inlineStr">
        <is>
          <t>10.1038/s41467-025-61209-y</t>
        </is>
      </c>
      <c r="D16" s="16" t="n">
        <v>2</v>
      </c>
      <c r="E16" s="16" t="inlineStr">
        <is>
          <t>Rounds 2 to 4, both enzymes</t>
        </is>
      </c>
      <c r="F16" s="16" t="inlineStr">
        <is>
          <t>Built on several different improved parents per round with no per-well template assignment shipped, so a full genotype cannot be reconstructed</t>
        </is>
      </c>
      <c r="G16" s="16" t="inlineStr">
        <is>
          <t>Wrong</t>
        </is>
      </c>
      <c r="H16" s="16" t="inlineStr">
        <is>
          <t>FIXED 2026-08-27. The Mutations column of every round-2/3/4 sheet writes the full genotype ("V141M / K226G / I15V / Q295D"), so no template assignment is needed. Both datasets now pool all four rounds: AtHMT 176 -&gt; 482 variants, YmPhytase 181 -&gt; 449. The 482 reconciles exactly with the paper own Overview sheet total of 482 new mutants, and 449 is the stated 448 plus the T44V/K45E benchmark.</t>
        </is>
      </c>
    </row>
    <row r="17">
      <c r="A17" s="14" t="n">
        <v>16</v>
      </c>
      <c r="B17" s="14" t="inlineStr">
        <is>
          <t>Zhang 2025 (PLMeAE, pCNF-RS)</t>
        </is>
      </c>
      <c r="C17" s="14" t="inlineStr">
        <is>
          <t>10.1038/s41467-025-56751-8</t>
        </is>
      </c>
      <c r="D17" s="14" t="n">
        <v>1</v>
      </c>
      <c r="E17" s="14" t="inlineStr">
        <is>
          <t>UBC9 and ubiquitin benchmark landscapes</t>
        </is>
      </c>
      <c r="F17" s="14" t="inlineStr">
        <is>
          <t>Measured by other publications and belong to them</t>
        </is>
      </c>
      <c r="G17" s="14" t="inlineStr">
        <is>
          <t>Sound</t>
        </is>
      </c>
      <c r="H17" s="14" t="inlineStr"/>
    </row>
    <row r="18">
      <c r="A18" s="14" t="n">
        <v>17</v>
      </c>
      <c r="B18" s="14" t="inlineStr">
        <is>
          <t>Silverstein 2025 (PAMmla, SpCas9)</t>
        </is>
      </c>
      <c r="C18" s="14" t="inlineStr">
        <is>
          <t>10.1038/s41586-025-09021-y</t>
        </is>
      </c>
      <c r="D18" s="14" t="n">
        <v>64</v>
      </c>
      <c r="E18" s="14" t="inlineStr">
        <is>
          <t>PAMmla predictions and the 64 million predicted profiles</t>
        </is>
      </c>
      <c r="F18" s="14" t="inlineStr">
        <is>
          <t>Computed rather than assayed</t>
        </is>
      </c>
      <c r="G18" s="14" t="inlineStr">
        <is>
          <t>Sound</t>
        </is>
      </c>
      <c r="H18" s="14" t="inlineStr"/>
    </row>
    <row r="19">
      <c r="A19" s="14" t="n">
        <v>18</v>
      </c>
      <c r="B19" s="14" t="inlineStr">
        <is>
          <t>Silverstein 2025 (PAMmla, SpCas9)</t>
        </is>
      </c>
      <c r="C19" s="14" t="inlineStr">
        <is>
          <t>10.1038/s41586-025-09021-y</t>
        </is>
      </c>
      <c r="D19" s="14" t="n">
        <v>64</v>
      </c>
      <c r="E19" s="14" t="inlineStr">
        <is>
          <t>GUIDE-seq2 results of Supplementary Table 6</t>
        </is>
      </c>
      <c r="F19" s="14" t="inlineStr">
        <is>
          <t>Measure off-target editing at genomic sites, not a fitness per enzyme variant</t>
        </is>
      </c>
      <c r="G19" s="14" t="inlineStr">
        <is>
          <t>Sound</t>
        </is>
      </c>
      <c r="H19" s="14" t="inlineStr"/>
    </row>
    <row r="20">
      <c r="A20" s="14" t="n">
        <v>19</v>
      </c>
      <c r="B20" s="14" t="inlineStr">
        <is>
          <t>Alamos 2025 (CONSTANS)</t>
        </is>
      </c>
      <c r="C20" s="14" t="inlineStr">
        <is>
          <t>10.1038/s41587-025-02880-w</t>
        </is>
      </c>
      <c r="D20" s="14" t="n">
        <v>1</v>
      </c>
      <c r="E20" s="14" t="inlineStr">
        <is>
          <t>The 3,644 viral and 218 Arabidopsis tiles of Tables S1 and S2</t>
        </is>
      </c>
      <c r="F20" s="14" t="inlineStr">
        <is>
          <t>Fragments of thousands of unrelated proteins rather than variants of one wild type</t>
        </is>
      </c>
      <c r="G20" s="14" t="inlineStr">
        <is>
          <t>Sound</t>
        </is>
      </c>
      <c r="H20" s="14" t="inlineStr"/>
    </row>
    <row r="21">
      <c r="A21" s="14" t="n">
        <v>20</v>
      </c>
      <c r="B21" s="14" t="inlineStr">
        <is>
          <t>Jiang 2024 (PRIME)</t>
        </is>
      </c>
      <c r="C21" s="14" t="inlineStr">
        <is>
          <t>10.1126/sciadv.adr2641</t>
        </is>
      </c>
      <c r="D21" s="14" t="n">
        <v>6</v>
      </c>
      <c r="E21" s="14" t="inlineStr">
        <is>
          <t>(none recorded)</t>
        </is>
      </c>
      <c r="F21" s="14" t="inlineStr"/>
      <c r="G21" s="14" t="inlineStr">
        <is>
          <t>Sound</t>
        </is>
      </c>
      <c r="H21" s="14" t="inlineStr"/>
    </row>
    <row r="22">
      <c r="A22" s="16" t="n">
        <v>21</v>
      </c>
      <c r="B22" s="16" t="inlineStr">
        <is>
          <t>Estevam 2025 (MET kinase)</t>
        </is>
      </c>
      <c r="C22" s="16" t="inlineStr">
        <is>
          <t>10.7554/eLife.101882</t>
        </is>
      </c>
      <c r="D22" s="16" t="n">
        <v>12</v>
      </c>
      <c r="E22" s="16" t="inlineStr">
        <is>
          <t>The exon-14-deleted MET background</t>
        </is>
      </c>
      <c r="F22" s="16" t="inlineStr">
        <is>
          <t>A different construct, and would be its own set of datasets</t>
        </is>
      </c>
      <c r="G22" s="16" t="inlineStr">
        <is>
          <t>Wrong</t>
        </is>
      </c>
      <c r="H22" s="16" t="inlineStr">
        <is>
          <t>OPEN -- a scope deferral written as a rejection. That it would be its own set of datasets is a reason to curate it, not to drop it; it would roughly double this paper yield to ~24 datasets. The eLife PMC package carries figures only and the data repository was not located in this audit, so availability is unconfirmed -- chase the Data availability statement.</t>
        </is>
      </c>
    </row>
    <row r="23">
      <c r="A23" s="14" t="n">
        <v>22</v>
      </c>
      <c r="B23" s="14" t="inlineStr">
        <is>
          <t>Estevam 2025 (MET kinase)</t>
        </is>
      </c>
      <c r="C23" s="14" t="inlineStr">
        <is>
          <t>10.7554/eLife.101882</t>
        </is>
      </c>
      <c r="D23" s="14" t="n">
        <v>12</v>
      </c>
      <c r="E23" s="14" t="inlineStr">
        <is>
          <t>Machine-learning feature tables and predictions</t>
        </is>
      </c>
      <c r="F23" s="14" t="inlineStr">
        <is>
          <t>Computed rather than assayed</t>
        </is>
      </c>
      <c r="G23" s="14" t="inlineStr">
        <is>
          <t>Sound</t>
        </is>
      </c>
      <c r="H23" s="14" t="inlineStr"/>
    </row>
    <row r="24">
      <c r="A24" s="14" t="n">
        <v>23</v>
      </c>
      <c r="B24" s="14" t="inlineStr">
        <is>
          <t>Jiang 2025 (SHP2)</t>
        </is>
      </c>
      <c r="C24" s="14" t="inlineStr">
        <is>
          <t>10.1038/s41467-025-60641-4</t>
        </is>
      </c>
      <c r="D24" s="14" t="n">
        <v>2</v>
      </c>
      <c r="E24" s="14" t="inlineStr">
        <is>
          <t>Supplementary Data 3 Clinical Variants sheet</t>
        </is>
      </c>
      <c r="F24" s="14" t="inlineStr">
        <is>
          <t>A cross-reference of the same enrichment data against ClinVar and COSMIC rather than an independent measurement</t>
        </is>
      </c>
      <c r="G24" s="14" t="inlineStr">
        <is>
          <t>Sound</t>
        </is>
      </c>
      <c r="H24" s="14" t="inlineStr"/>
    </row>
    <row r="25">
      <c r="A25" s="14" t="n">
        <v>24</v>
      </c>
      <c r="B25" s="14" t="inlineStr">
        <is>
          <t>Jiang 2025 (SHP2)</t>
        </is>
      </c>
      <c r="C25" s="14" t="inlineStr">
        <is>
          <t>10.1038/s41467-025-60641-4</t>
        </is>
      </c>
      <c r="D25" s="14" t="n">
        <v>2</v>
      </c>
      <c r="E25" s="14" t="inlineStr">
        <is>
          <t>COSMIC- and ClinVar-annotated sheets</t>
        </is>
      </c>
      <c r="F25" s="14" t="inlineStr">
        <is>
          <t>Carry no enrichment scores at all</t>
        </is>
      </c>
      <c r="G25" s="14" t="inlineStr">
        <is>
          <t>Sound</t>
        </is>
      </c>
      <c r="H25" s="14" t="inlineStr">
        <is>
          <t>Confirmed: both sheets hold annotation columns only (tissue, histology, clinical significance, accession) and no score column.</t>
        </is>
      </c>
    </row>
    <row r="26">
      <c r="A26" s="14" t="n">
        <v>25</v>
      </c>
      <c r="B26" s="14" t="inlineStr">
        <is>
          <t>Jiang 2025 (SHP2)</t>
        </is>
      </c>
      <c r="C26" s="14" t="inlineStr">
        <is>
          <t>10.1038/s41467-025-60641-4</t>
        </is>
      </c>
      <c r="D26" s="14" t="n">
        <v>2</v>
      </c>
      <c r="E26" s="14" t="inlineStr">
        <is>
          <t>Molecular-dynamics and structural analyses</t>
        </is>
      </c>
      <c r="F26" s="14" t="inlineStr">
        <is>
          <t>Computational</t>
        </is>
      </c>
      <c r="G26" s="14" t="inlineStr">
        <is>
          <t>Sound</t>
        </is>
      </c>
      <c r="H26" s="14" t="inlineStr"/>
    </row>
    <row r="27">
      <c r="A27" s="14" t="n">
        <v>26</v>
      </c>
      <c r="B27" s="14" t="inlineStr">
        <is>
          <t>Wysocki 2025 (RbcL)</t>
        </is>
      </c>
      <c r="C27" s="14" t="inlineStr">
        <is>
          <t>10.1021/acssynbio.5c00591</t>
        </is>
      </c>
      <c r="D27" s="14" t="n">
        <v>2</v>
      </c>
      <c r="E27" s="14" t="inlineStr">
        <is>
          <t>Validation panel of the Supplementary Figure</t>
        </is>
      </c>
      <c r="F27" s="14" t="inlineStr">
        <is>
          <t>A 1000-variant random sample of this same library, not an independent measurement</t>
        </is>
      </c>
      <c r="G27" s="14" t="inlineStr">
        <is>
          <t>Sound</t>
        </is>
      </c>
      <c r="H27" s="14" t="inlineStr"/>
    </row>
    <row r="28">
      <c r="A28" s="13" t="n">
        <v>27</v>
      </c>
      <c r="B28" s="13" t="inlineStr">
        <is>
          <t>Wysocki 2025 (RbcL)</t>
        </is>
      </c>
      <c r="C28" s="13" t="inlineStr">
        <is>
          <t>10.1021/acssynbio.5c00591</t>
        </is>
      </c>
      <c r="D28" s="13" t="n">
        <v>2</v>
      </c>
      <c r="E28" s="13" t="inlineStr">
        <is>
          <t>Synechococcus elongatus RbcL comparisons</t>
        </is>
      </c>
      <c r="F28" s="13" t="inlineStr">
        <is>
          <t>No library-scale fitness table is given</t>
        </is>
      </c>
      <c r="G28" s="13" t="inlineStr">
        <is>
          <t>Not re-verified</t>
        </is>
      </c>
      <c r="H28" s="13" t="inlineStr">
        <is>
          <t>Consistent with what is staged -- the supplementary workbook holds only SI Tables 1 and 2, both H. neapolitanus. Not checked against the SI PDF.</t>
        </is>
      </c>
    </row>
    <row r="29">
      <c r="A29" s="14" t="n">
        <v>28</v>
      </c>
      <c r="B29" s="14" t="inlineStr">
        <is>
          <t>Thornton 2025 (Con1 protease)</t>
        </is>
      </c>
      <c r="C29" s="14" t="inlineStr">
        <is>
          <t>10.1021/acssynbio.5c00062</t>
        </is>
      </c>
      <c r="D29" s="14" t="n">
        <v>2</v>
      </c>
      <c r="E29" s="14" t="inlineStr">
        <is>
          <t>Second, ML-guided round of 32 further variants (Figure 5)</t>
        </is>
      </c>
      <c r="F29" s="14" t="inlineStr">
        <is>
          <t>Per-region mutant index numbers are reused independently of the first-round indices, so merging by index would mix up genotypes</t>
        </is>
      </c>
      <c r="G29" s="14" t="inlineStr">
        <is>
          <t>Sound</t>
        </is>
      </c>
      <c r="H29" s="14" t="inlineStr">
        <is>
          <t>Well evidenced -- the remark names the concrete collision (region B mutant 27 vs the follow-up hit TB27).</t>
        </is>
      </c>
    </row>
    <row r="30">
      <c r="A30" s="14" t="n">
        <v>29</v>
      </c>
      <c r="B30" s="14" t="inlineStr">
        <is>
          <t>Thornton 2025 (Con1 protease)</t>
        </is>
      </c>
      <c r="C30" s="14" t="inlineStr">
        <is>
          <t>10.1021/acssynbio.5c00062</t>
        </is>
      </c>
      <c r="D30" s="14" t="n">
        <v>2</v>
      </c>
      <c r="E30" s="14" t="inlineStr">
        <is>
          <t>Purified-versus-CFPS comparison of Figure 6</t>
        </is>
      </c>
      <c r="F30" s="14" t="inlineStr">
        <is>
          <t>Validates a handful of variants rather than screening a library</t>
        </is>
      </c>
      <c r="G30" s="14" t="inlineStr">
        <is>
          <t>Sound</t>
        </is>
      </c>
      <c r="H30" s="14" t="inlineStr"/>
    </row>
    <row r="31">
      <c r="A31" s="14" t="n">
        <v>30</v>
      </c>
      <c r="B31" s="14" t="inlineStr">
        <is>
          <t>Teo 2025 (influenza NEP)</t>
        </is>
      </c>
      <c r="C31" s="14" t="inlineStr">
        <is>
          <t>10.1016/j.celrep.2024.115196</t>
        </is>
      </c>
      <c r="D31" s="14" t="n">
        <v>1</v>
      </c>
      <c r="E31" s="14" t="inlineStr">
        <is>
          <t>Influenza RNA species (mRNA/cRNA/vRNA) quantification</t>
        </is>
      </c>
      <c r="F31" s="14" t="inlineStr">
        <is>
          <t>A separate assay on wild-type virus rather than a variant screen</t>
        </is>
      </c>
      <c r="G31" s="14" t="inlineStr">
        <is>
          <t>Sound</t>
        </is>
      </c>
      <c r="H31" s="14" t="inlineStr"/>
    </row>
    <row r="32">
      <c r="A32" s="14" t="n">
        <v>31</v>
      </c>
      <c r="B32" s="14" t="inlineStr">
        <is>
          <t>Wong 2025 (CjPglB)</t>
        </is>
      </c>
      <c r="C32" s="14" t="inlineStr">
        <is>
          <t>10.1038/s41467-025-60526-6</t>
        </is>
      </c>
      <c r="D32" s="14" t="n">
        <v>1</v>
      </c>
      <c r="E32" s="14" t="inlineStr">
        <is>
          <t>The 328-construct PD Sequon Variant Sequences library (Fig. 6)</t>
        </is>
      </c>
      <c r="F32" s="14" t="inlineStr">
        <is>
          <t>An insertion-site scan of a separate carrier protein rather than substitutions in CjPglB</t>
        </is>
      </c>
      <c r="G32" s="14" t="inlineStr">
        <is>
          <t>Sound</t>
        </is>
      </c>
      <c r="H32" s="14" t="inlineStr"/>
    </row>
    <row r="33">
      <c r="A33" s="14" t="n">
        <v>32</v>
      </c>
      <c r="B33" s="14" t="inlineStr">
        <is>
          <t>Wong 2025 (CjPglB)</t>
        </is>
      </c>
      <c r="C33" s="14" t="inlineStr">
        <is>
          <t>10.1038/s41467-025-60526-6</t>
        </is>
      </c>
      <c r="D33" s="14" t="n">
        <v>1</v>
      </c>
      <c r="E33" s="14" t="inlineStr">
        <is>
          <t>Seven-mutant Western blot validation panel</t>
        </is>
      </c>
      <c r="F33" s="14" t="inlineStr">
        <is>
          <t>Confirms a subset of the same screen rather than measuring independently</t>
        </is>
      </c>
      <c r="G33" s="14" t="inlineStr">
        <is>
          <t>Sound</t>
        </is>
      </c>
      <c r="H33" s="14" t="inlineStr"/>
    </row>
    <row r="34">
      <c r="A34" s="14" t="n">
        <v>33</v>
      </c>
      <c r="B34" s="14" t="inlineStr">
        <is>
          <t>Wong 2025 (CjPglB)</t>
        </is>
      </c>
      <c r="C34" s="14" t="inlineStr">
        <is>
          <t>10.1038/s41467-025-60526-6</t>
        </is>
      </c>
      <c r="D34" s="14" t="n">
        <v>1</v>
      </c>
      <c r="E34" s="14" t="inlineStr">
        <is>
          <t>RiPP recognition-element binding and lasso-peptide cyclization sections</t>
        </is>
      </c>
      <c r="F34" s="14" t="inlineStr">
        <is>
          <t>Characterize unrelated protein families</t>
        </is>
      </c>
      <c r="G34" s="14" t="inlineStr">
        <is>
          <t>Sound</t>
        </is>
      </c>
      <c r="H34" s="14" t="inlineStr"/>
    </row>
    <row r="35">
      <c r="A35" s="14" t="n">
        <v>34</v>
      </c>
      <c r="B35" s="14" t="inlineStr">
        <is>
          <t>Somvilla 2025 (SaAmd)</t>
        </is>
      </c>
      <c r="C35" s="14" t="inlineStr">
        <is>
          <t>10.1021/acscatal.5c01903</t>
        </is>
      </c>
      <c r="D35" s="14" t="n">
        <v>8</v>
      </c>
      <c r="E35" s="14" t="inlineStr">
        <is>
          <t>FACS sorting data (Figures S7-S8)</t>
        </is>
      </c>
      <c r="F35" s="14" t="inlineStr">
        <is>
          <t>Population fluorescence distributions rather than per-variant scores</t>
        </is>
      </c>
      <c r="G35" s="14" t="inlineStr">
        <is>
          <t>Sound</t>
        </is>
      </c>
      <c r="H35" s="14" t="inlineStr"/>
    </row>
    <row r="36">
      <c r="A36" s="14" t="n">
        <v>35</v>
      </c>
      <c r="B36" s="14" t="inlineStr">
        <is>
          <t>Somvilla 2025 (SaAmd)</t>
        </is>
      </c>
      <c r="C36" s="14" t="inlineStr">
        <is>
          <t>10.1021/acscatal.5c01903</t>
        </is>
      </c>
      <c r="D36" s="14" t="n">
        <v>8</v>
      </c>
      <c r="E36" s="14" t="inlineStr">
        <is>
          <t>Library-composition tables (Table S2)</t>
        </is>
      </c>
      <c r="F36" s="14" t="inlineStr">
        <is>
          <t>List what was randomized rather than what each variant did</t>
        </is>
      </c>
      <c r="G36" s="14" t="inlineStr">
        <is>
          <t>Sound</t>
        </is>
      </c>
      <c r="H36" s="14" t="inlineStr"/>
    </row>
    <row r="37">
      <c r="A37" s="14" t="n">
        <v>36</v>
      </c>
      <c r="B37" s="14" t="inlineStr">
        <is>
          <t>Somvilla 2025 (SaAmd)</t>
        </is>
      </c>
      <c r="C37" s="14" t="inlineStr">
        <is>
          <t>10.1021/acscatal.5c01903</t>
        </is>
      </c>
      <c r="D37" s="14" t="n">
        <v>8</v>
      </c>
      <c r="E37" s="14" t="inlineStr">
        <is>
          <t>PdAmd comparison (Figure S9)</t>
        </is>
      </c>
      <c r="F37" s="14" t="inlineStr">
        <is>
          <t>A different enzyme rather than a variant of this wild type</t>
        </is>
      </c>
      <c r="G37" s="14" t="inlineStr">
        <is>
          <t>Sound</t>
        </is>
      </c>
      <c r="H37" s="14" t="inlineStr"/>
    </row>
    <row r="38">
      <c r="A38" s="16" t="n">
        <v>37</v>
      </c>
      <c r="B38" s="16" t="inlineStr">
        <is>
          <t>Singh 2025 (AtHMT / YmPhytase)</t>
        </is>
      </c>
      <c r="C38" s="16" t="inlineStr">
        <is>
          <t>10.1038/s41467-025-61209-y</t>
        </is>
      </c>
      <c r="D38" s="16" t="n">
        <v>2</v>
      </c>
      <c r="E38" s="16" t="inlineStr">
        <is>
          <t>AtHMT round-1 variant identity</t>
        </is>
      </c>
      <c r="F38" s="16" t="inlineStr">
        <is>
          <t>Variant identity is not in the screening file, whose rows are plate wells; recovered by joining each well to the primer plate map of Supplementary Data 1</t>
        </is>
      </c>
      <c r="G38" s="16" t="inlineStr">
        <is>
          <t>Wrong</t>
        </is>
      </c>
      <c r="H38" s="16" t="inlineStr">
        <is>
          <t>Harmless but false -- the round-1 sheets carry their own Mutation column holding all 176 labels, identical to the set the primer-map join produced. The join was never needed. Corrected in the rebuilt remark 2026-08-27.</t>
        </is>
      </c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inlineStr">
        <is>
          <t>1</t>
        </is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inlineStr">
        <is>
          <t>2</t>
        </is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inlineStr">
        <is>
          <t>3</t>
        </is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  <row r="5">
      <c r="A5" s="12" t="inlineStr">
        <is>
          <t>4</t>
        </is>
      </c>
      <c r="B5" s="12" t="inlineStr">
        <is>
          <t>Jansen 2026 -- CymR transcriptional repressor DMS (GROQ-Seq)</t>
        </is>
      </c>
      <c r="C5" s="12" t="inlineStr">
        <is>
          <t>10.1093/nar/gkag206</t>
        </is>
      </c>
      <c r="D5" s="12" t="inlineStr">
        <is>
          <t>Eighth sweep (2026)</t>
        </is>
      </c>
      <c r="E5" s="12" t="inlineStr">
        <is>
          <t>CymR (TetR family, Pseudomonas putida, 202 aa), 7,887 variants over 24 conditions (+/- tetracycline x three ligands). Per-variant data is Supplementary file 1, a CSV, with Supplementary Table S3 as its column legend.</t>
        </is>
      </c>
      <c r="F5" s="12" t="inlineStr">
        <is>
          <t>Only the ~3,819 substitutions are curatable -- the ~4,040 insertions and ~201 deletions cannot be written as {WT}{position}{MUT}. Also needs a decision on which of the 24 conditions become datasets.</t>
        </is>
      </c>
    </row>
    <row r="6">
      <c r="A6" s="12" t="inlineStr">
        <is>
          <t>5</t>
        </is>
      </c>
      <c r="B6" s="12" t="inlineStr">
        <is>
          <t>Echinocandin resistance in S. cerevisiae -- Fks1 hotspot DMS</t>
        </is>
      </c>
      <c r="C6" s="12" t="inlineStr">
        <is>
          <t>10.1093/genetics/iyag055</t>
        </is>
      </c>
      <c r="D6" s="12" t="inlineStr">
        <is>
          <t>Eighth sweep (2026)</t>
        </is>
      </c>
      <c r="E6" s="12" t="inlineStr">
        <is>
          <t>465 single substitutions across three Fks1 hotspots, bulk-competition DMS with selection coefficients, against anidulafungin, caspofungin and micafungin plus a no-drug control -- four conditions on one WT.</t>
        </is>
      </c>
      <c r="F6" s="12" t="inlineStr">
        <is>
          <t>No formal data-availability statement in the full text. The selection coefficients are presumably in the eleven supplementary tables, but that is a Phase 0 chase, not a decided fact.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2026-09-05T02:28:31Z</dcterms:modified>
</cp:coreProperties>
</file>