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aper\Paper_3\Data for publication\"/>
    </mc:Choice>
  </mc:AlternateContent>
  <xr:revisionPtr revIDLastSave="0" documentId="13_ncr:1_{D7401CBE-9B37-4949-BFDE-62C2AB586958}" xr6:coauthVersionLast="47" xr6:coauthVersionMax="47" xr10:uidLastSave="{00000000-0000-0000-0000-000000000000}"/>
  <bookViews>
    <workbookView xWindow="-120" yWindow="-120" windowWidth="38640" windowHeight="21240" xr2:uid="{8B10FF2E-4B48-460E-A85D-627A5EAE535C}"/>
  </bookViews>
  <sheets>
    <sheet name="All variants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I12" i="1"/>
  <c r="J12" i="1"/>
  <c r="K12" i="1"/>
  <c r="L12" i="1"/>
  <c r="I13" i="1"/>
  <c r="J13" i="1"/>
  <c r="K13" i="1"/>
  <c r="L13" i="1"/>
  <c r="I14" i="1"/>
  <c r="J14" i="1"/>
  <c r="K14" i="1"/>
  <c r="L14" i="1"/>
  <c r="I15" i="1"/>
  <c r="J15" i="1"/>
  <c r="K15" i="1"/>
  <c r="L15" i="1"/>
  <c r="I16" i="1"/>
  <c r="J16" i="1"/>
  <c r="K16" i="1"/>
  <c r="L16" i="1"/>
  <c r="I17" i="1"/>
  <c r="J17" i="1"/>
  <c r="K17" i="1"/>
  <c r="L17" i="1"/>
  <c r="I18" i="1"/>
  <c r="J18" i="1"/>
  <c r="K18" i="1"/>
  <c r="L18" i="1"/>
  <c r="I19" i="1"/>
  <c r="J19" i="1"/>
  <c r="K19" i="1"/>
  <c r="L19" i="1"/>
  <c r="I20" i="1"/>
  <c r="J20" i="1"/>
  <c r="K20" i="1"/>
  <c r="L20" i="1"/>
  <c r="I21" i="1"/>
  <c r="J21" i="1"/>
  <c r="K21" i="1"/>
  <c r="L21" i="1"/>
  <c r="I22" i="1"/>
  <c r="J22" i="1"/>
  <c r="K22" i="1"/>
  <c r="L22" i="1"/>
  <c r="I23" i="1"/>
  <c r="J23" i="1"/>
  <c r="K23" i="1"/>
  <c r="L23" i="1"/>
  <c r="I24" i="1"/>
  <c r="J24" i="1"/>
  <c r="K24" i="1"/>
  <c r="L24" i="1"/>
  <c r="I25" i="1"/>
  <c r="J25" i="1"/>
  <c r="K25" i="1"/>
  <c r="L25" i="1"/>
  <c r="I26" i="1"/>
  <c r="J26" i="1"/>
  <c r="K26" i="1"/>
  <c r="L26" i="1"/>
  <c r="I27" i="1"/>
  <c r="J27" i="1"/>
  <c r="K27" i="1"/>
  <c r="L27" i="1"/>
  <c r="I28" i="1"/>
  <c r="J28" i="1"/>
  <c r="K28" i="1"/>
  <c r="L28" i="1"/>
  <c r="I29" i="1"/>
  <c r="J29" i="1"/>
  <c r="K29" i="1"/>
  <c r="L29" i="1"/>
  <c r="I30" i="1"/>
  <c r="J30" i="1"/>
  <c r="K30" i="1"/>
  <c r="L30" i="1"/>
  <c r="I31" i="1"/>
  <c r="J31" i="1"/>
  <c r="K31" i="1"/>
  <c r="L31" i="1"/>
  <c r="I32" i="1"/>
  <c r="J32" i="1"/>
  <c r="K32" i="1"/>
  <c r="L32" i="1"/>
  <c r="Q32" i="1" s="1"/>
  <c r="I33" i="1"/>
  <c r="J33" i="1"/>
  <c r="K33" i="1"/>
  <c r="L33" i="1"/>
  <c r="I34" i="1"/>
  <c r="J34" i="1"/>
  <c r="K34" i="1"/>
  <c r="L34" i="1"/>
  <c r="I35" i="1"/>
  <c r="J35" i="1"/>
  <c r="K35" i="1"/>
  <c r="L35" i="1"/>
  <c r="I36" i="1"/>
  <c r="J36" i="1"/>
  <c r="K36" i="1"/>
  <c r="L36" i="1"/>
  <c r="I37" i="1"/>
  <c r="J37" i="1"/>
  <c r="K37" i="1"/>
  <c r="L37" i="1"/>
  <c r="I38" i="1"/>
  <c r="J38" i="1"/>
  <c r="K38" i="1"/>
  <c r="L38" i="1"/>
  <c r="I39" i="1"/>
  <c r="J39" i="1"/>
  <c r="K39" i="1"/>
  <c r="L39" i="1"/>
  <c r="I40" i="1"/>
  <c r="J40" i="1"/>
  <c r="K40" i="1"/>
  <c r="L40" i="1"/>
  <c r="I41" i="1"/>
  <c r="J41" i="1"/>
  <c r="K41" i="1"/>
  <c r="L41" i="1"/>
  <c r="I42" i="1"/>
  <c r="J42" i="1"/>
  <c r="K42" i="1"/>
  <c r="L42" i="1"/>
  <c r="I43" i="1"/>
  <c r="J43" i="1"/>
  <c r="K43" i="1"/>
  <c r="L43" i="1"/>
  <c r="I44" i="1"/>
  <c r="J44" i="1"/>
  <c r="K44" i="1"/>
  <c r="L44" i="1"/>
  <c r="I45" i="1"/>
  <c r="J45" i="1"/>
  <c r="K45" i="1"/>
  <c r="L45" i="1"/>
  <c r="I46" i="1"/>
  <c r="J46" i="1"/>
  <c r="K46" i="1"/>
  <c r="L46" i="1"/>
  <c r="I47" i="1"/>
  <c r="J47" i="1"/>
  <c r="K47" i="1"/>
  <c r="L47" i="1"/>
  <c r="I48" i="1"/>
  <c r="J48" i="1"/>
  <c r="K48" i="1"/>
  <c r="L48" i="1"/>
  <c r="I49" i="1"/>
  <c r="J49" i="1"/>
  <c r="K49" i="1"/>
  <c r="L49" i="1"/>
  <c r="I50" i="1"/>
  <c r="J50" i="1"/>
  <c r="K50" i="1"/>
  <c r="L50" i="1"/>
  <c r="I51" i="1"/>
  <c r="J51" i="1"/>
  <c r="K51" i="1"/>
  <c r="L51" i="1"/>
  <c r="I52" i="1"/>
  <c r="J52" i="1"/>
  <c r="K52" i="1"/>
  <c r="L52" i="1"/>
  <c r="I53" i="1"/>
  <c r="J53" i="1"/>
  <c r="K53" i="1"/>
  <c r="L53" i="1"/>
  <c r="I54" i="1"/>
  <c r="J54" i="1"/>
  <c r="K54" i="1"/>
  <c r="L54" i="1"/>
  <c r="I55" i="1"/>
  <c r="J55" i="1"/>
  <c r="K55" i="1"/>
  <c r="L55" i="1"/>
  <c r="I56" i="1"/>
  <c r="J56" i="1"/>
  <c r="K56" i="1"/>
  <c r="L56" i="1"/>
  <c r="I57" i="1"/>
  <c r="J57" i="1"/>
  <c r="K57" i="1"/>
  <c r="L57" i="1"/>
  <c r="I58" i="1"/>
  <c r="J58" i="1"/>
  <c r="K58" i="1"/>
  <c r="L58" i="1"/>
  <c r="I59" i="1"/>
  <c r="J59" i="1"/>
  <c r="K59" i="1"/>
  <c r="L59" i="1"/>
  <c r="K4" i="1"/>
  <c r="J4" i="1"/>
  <c r="L4" i="1"/>
  <c r="I4" i="1"/>
  <c r="N4" i="1" s="1"/>
  <c r="C61" i="1"/>
  <c r="I61" i="1" s="1"/>
  <c r="N61" i="1" s="1"/>
  <c r="D61" i="1"/>
  <c r="J61" i="1" s="1"/>
  <c r="O61" i="1" s="1"/>
  <c r="E61" i="1"/>
  <c r="K61" i="1" s="1"/>
  <c r="P61" i="1" s="1"/>
  <c r="F61" i="1"/>
  <c r="L61" i="1" s="1"/>
  <c r="Q61" i="1" s="1"/>
  <c r="B61" i="1"/>
  <c r="C60" i="1"/>
  <c r="I60" i="1" s="1"/>
  <c r="N60" i="1" s="1"/>
  <c r="D60" i="1"/>
  <c r="E60" i="1"/>
  <c r="K60" i="1" s="1"/>
  <c r="P60" i="1" s="1"/>
  <c r="F60" i="1"/>
  <c r="B60" i="1"/>
  <c r="J60" i="1" s="1"/>
  <c r="O60" i="1" s="1"/>
  <c r="O32" i="1" l="1"/>
  <c r="Q31" i="1"/>
  <c r="O31" i="1"/>
  <c r="Q30" i="1"/>
  <c r="O30" i="1"/>
  <c r="Q29" i="1"/>
  <c r="O29" i="1"/>
  <c r="Q28" i="1"/>
  <c r="O28" i="1"/>
  <c r="Q27" i="1"/>
  <c r="O27" i="1"/>
  <c r="Q26" i="1"/>
  <c r="Q25" i="1"/>
  <c r="O25" i="1"/>
  <c r="Q24" i="1"/>
  <c r="O24" i="1"/>
  <c r="Q23" i="1"/>
  <c r="O23" i="1"/>
  <c r="Q22" i="1"/>
  <c r="O22" i="1"/>
  <c r="Q21" i="1"/>
  <c r="O21" i="1"/>
  <c r="Q20" i="1"/>
  <c r="O20" i="1"/>
  <c r="Q19" i="1"/>
  <c r="O19" i="1"/>
  <c r="Q18" i="1"/>
  <c r="Q17" i="1"/>
  <c r="Q16" i="1"/>
  <c r="O16" i="1"/>
  <c r="Q15" i="1"/>
  <c r="Q14" i="1"/>
  <c r="O14" i="1"/>
  <c r="Q13" i="1"/>
  <c r="O13" i="1"/>
  <c r="Q12" i="1"/>
  <c r="O12" i="1"/>
  <c r="Q11" i="1"/>
  <c r="O11" i="1"/>
  <c r="Q10" i="1"/>
  <c r="O10" i="1"/>
  <c r="Q9" i="1"/>
  <c r="O9" i="1"/>
  <c r="Q8" i="1"/>
  <c r="O8" i="1"/>
  <c r="Q7" i="1"/>
  <c r="O7" i="1"/>
  <c r="Q6" i="1"/>
  <c r="O6" i="1"/>
  <c r="Q5" i="1"/>
  <c r="O5" i="1"/>
  <c r="O4" i="1"/>
  <c r="Q59" i="1"/>
  <c r="O59" i="1"/>
  <c r="Q58" i="1"/>
  <c r="Q57" i="1"/>
  <c r="O57" i="1"/>
  <c r="Q56" i="1"/>
  <c r="O56" i="1"/>
  <c r="Q55" i="1"/>
  <c r="O55" i="1"/>
  <c r="Q54" i="1"/>
  <c r="O54" i="1"/>
  <c r="Q53" i="1"/>
  <c r="Q52" i="1"/>
  <c r="O52" i="1"/>
  <c r="Q51" i="1"/>
  <c r="O51" i="1"/>
  <c r="Q50" i="1"/>
  <c r="O50" i="1"/>
  <c r="Q49" i="1"/>
  <c r="O49" i="1"/>
  <c r="Q48" i="1"/>
  <c r="O48" i="1"/>
  <c r="Q47" i="1"/>
  <c r="O47" i="1"/>
  <c r="Q46" i="1"/>
  <c r="O46" i="1"/>
  <c r="Q45" i="1"/>
  <c r="O45" i="1"/>
  <c r="Q44" i="1"/>
  <c r="Q43" i="1"/>
  <c r="O43" i="1"/>
  <c r="Q42" i="1"/>
  <c r="Q41" i="1"/>
  <c r="Q40" i="1"/>
  <c r="Q39" i="1"/>
  <c r="O39" i="1"/>
  <c r="Q38" i="1"/>
  <c r="O38" i="1"/>
  <c r="Q37" i="1"/>
  <c r="O37" i="1"/>
  <c r="Q36" i="1"/>
  <c r="Q35" i="1"/>
  <c r="O35" i="1"/>
  <c r="Q34" i="1"/>
  <c r="O34" i="1"/>
  <c r="Q33" i="1"/>
  <c r="O33" i="1"/>
  <c r="S61" i="1"/>
  <c r="Q4" i="1"/>
  <c r="P4" i="1"/>
  <c r="S4" i="1" s="1"/>
  <c r="N59" i="1"/>
  <c r="P58" i="1"/>
  <c r="N57" i="1"/>
  <c r="P56" i="1"/>
  <c r="N56" i="1"/>
  <c r="P55" i="1"/>
  <c r="N55" i="1"/>
  <c r="P54" i="1"/>
  <c r="N54" i="1"/>
  <c r="N53" i="1"/>
  <c r="P52" i="1"/>
  <c r="N52" i="1"/>
  <c r="N51" i="1"/>
  <c r="P50" i="1"/>
  <c r="N50" i="1"/>
  <c r="P49" i="1"/>
  <c r="N49" i="1"/>
  <c r="P48" i="1"/>
  <c r="N48" i="1"/>
  <c r="P47" i="1"/>
  <c r="N47" i="1"/>
  <c r="P46" i="1"/>
  <c r="N46" i="1"/>
  <c r="P45" i="1"/>
  <c r="N45" i="1"/>
  <c r="N44" i="1"/>
  <c r="N43" i="1"/>
  <c r="N42" i="1"/>
  <c r="P41" i="1"/>
  <c r="N41" i="1"/>
  <c r="P40" i="1"/>
  <c r="N40" i="1"/>
  <c r="P39" i="1"/>
  <c r="N39" i="1"/>
  <c r="P38" i="1"/>
  <c r="N38" i="1"/>
  <c r="P37" i="1"/>
  <c r="N37" i="1"/>
  <c r="N36" i="1"/>
  <c r="N35" i="1"/>
  <c r="P34" i="1"/>
  <c r="N34" i="1"/>
  <c r="P33" i="1"/>
  <c r="N33" i="1"/>
  <c r="P32" i="1"/>
  <c r="N32" i="1"/>
  <c r="P31" i="1"/>
  <c r="N31" i="1"/>
  <c r="P30" i="1"/>
  <c r="N30" i="1"/>
  <c r="P29" i="1"/>
  <c r="N29" i="1"/>
  <c r="P28" i="1"/>
  <c r="N28" i="1"/>
  <c r="P27" i="1"/>
  <c r="N27" i="1"/>
  <c r="P26" i="1"/>
  <c r="N26" i="1"/>
  <c r="P25" i="1"/>
  <c r="N25" i="1"/>
  <c r="P24" i="1"/>
  <c r="N24" i="1"/>
  <c r="P23" i="1"/>
  <c r="N23" i="1"/>
  <c r="N22" i="1"/>
  <c r="P21" i="1"/>
  <c r="N21" i="1"/>
  <c r="P20" i="1"/>
  <c r="N20" i="1"/>
  <c r="P19" i="1"/>
  <c r="N19" i="1"/>
  <c r="N18" i="1"/>
  <c r="N17" i="1"/>
  <c r="N16" i="1"/>
  <c r="N15" i="1"/>
  <c r="P14" i="1"/>
  <c r="N14" i="1"/>
  <c r="P13" i="1"/>
  <c r="N13" i="1"/>
  <c r="N12" i="1"/>
  <c r="P11" i="1"/>
  <c r="N11" i="1"/>
  <c r="P10" i="1"/>
  <c r="N10" i="1"/>
  <c r="P9" i="1"/>
  <c r="N9" i="1"/>
  <c r="P8" i="1"/>
  <c r="N8" i="1"/>
  <c r="P7" i="1"/>
  <c r="N7" i="1"/>
  <c r="P6" i="1"/>
  <c r="N6" i="1"/>
  <c r="P5" i="1"/>
  <c r="N5" i="1"/>
  <c r="L60" i="1"/>
  <c r="Q60" i="1" s="1"/>
  <c r="S60" i="1" s="1"/>
  <c r="T4" i="1" l="1"/>
  <c r="V4" i="1"/>
  <c r="T60" i="1"/>
  <c r="W60" i="1"/>
  <c r="V60" i="1"/>
  <c r="X60" i="1"/>
  <c r="V17" i="1"/>
  <c r="S17" i="1"/>
  <c r="V20" i="1"/>
  <c r="S20" i="1"/>
  <c r="T20" i="1" s="1"/>
  <c r="V36" i="1"/>
  <c r="S36" i="1"/>
  <c r="S43" i="1"/>
  <c r="V43" i="1" s="1"/>
  <c r="S45" i="1"/>
  <c r="T45" i="1" s="1"/>
  <c r="V45" i="1"/>
  <c r="S46" i="1"/>
  <c r="T46" i="1" s="1"/>
  <c r="S47" i="1"/>
  <c r="T47" i="1" s="1"/>
  <c r="V47" i="1"/>
  <c r="S48" i="1"/>
  <c r="T48" i="1" s="1"/>
  <c r="S49" i="1"/>
  <c r="T49" i="1" s="1"/>
  <c r="S50" i="1"/>
  <c r="T50" i="1" s="1"/>
  <c r="S51" i="1"/>
  <c r="V51" i="1" s="1"/>
  <c r="V54" i="1"/>
  <c r="S54" i="1"/>
  <c r="T54" i="1" s="1"/>
  <c r="V55" i="1"/>
  <c r="S55" i="1"/>
  <c r="T55" i="1" s="1"/>
  <c r="V56" i="1"/>
  <c r="S56" i="1"/>
  <c r="T56" i="1" s="1"/>
  <c r="V57" i="1"/>
  <c r="S57" i="1"/>
  <c r="V59" i="1"/>
  <c r="S59" i="1"/>
  <c r="Y4" i="1"/>
  <c r="Y36" i="1"/>
  <c r="W43" i="1"/>
  <c r="Y45" i="1"/>
  <c r="Y46" i="1"/>
  <c r="Y47" i="1"/>
  <c r="Y48" i="1"/>
  <c r="Y49" i="1"/>
  <c r="Y50" i="1"/>
  <c r="W54" i="1"/>
  <c r="W55" i="1"/>
  <c r="W56" i="1"/>
  <c r="W57" i="1"/>
  <c r="Y59" i="1"/>
  <c r="Y20" i="1"/>
  <c r="Y23" i="1"/>
  <c r="Y25" i="1"/>
  <c r="W28" i="1"/>
  <c r="W30" i="1"/>
  <c r="W32" i="1"/>
  <c r="Y60" i="1"/>
  <c r="S13" i="1"/>
  <c r="T13" i="1" s="1"/>
  <c r="S14" i="1"/>
  <c r="T14" i="1" s="1"/>
  <c r="S15" i="1"/>
  <c r="Y15" i="1" s="1"/>
  <c r="S19" i="1"/>
  <c r="T19" i="1" s="1"/>
  <c r="S21" i="1"/>
  <c r="T21" i="1" s="1"/>
  <c r="S22" i="1"/>
  <c r="Y22" i="1" s="1"/>
  <c r="X25" i="1"/>
  <c r="S5" i="1"/>
  <c r="T5" i="1" s="1"/>
  <c r="S6" i="1"/>
  <c r="T6" i="1" s="1"/>
  <c r="S7" i="1"/>
  <c r="T7" i="1" s="1"/>
  <c r="S8" i="1"/>
  <c r="T8" i="1" s="1"/>
  <c r="S9" i="1"/>
  <c r="T9" i="1" s="1"/>
  <c r="S10" i="1"/>
  <c r="T10" i="1" s="1"/>
  <c r="S11" i="1"/>
  <c r="T11" i="1" s="1"/>
  <c r="S12" i="1"/>
  <c r="V12" i="1" s="1"/>
  <c r="X14" i="1"/>
  <c r="S16" i="1"/>
  <c r="S18" i="1"/>
  <c r="Y18" i="1" s="1"/>
  <c r="X20" i="1"/>
  <c r="V23" i="1"/>
  <c r="S23" i="1"/>
  <c r="T23" i="1" s="1"/>
  <c r="V24" i="1"/>
  <c r="S24" i="1"/>
  <c r="T24" i="1" s="1"/>
  <c r="V25" i="1"/>
  <c r="S25" i="1"/>
  <c r="T25" i="1" s="1"/>
  <c r="V26" i="1"/>
  <c r="S26" i="1"/>
  <c r="V27" i="1"/>
  <c r="S27" i="1"/>
  <c r="T27" i="1" s="1"/>
  <c r="V28" i="1"/>
  <c r="S28" i="1"/>
  <c r="T28" i="1" s="1"/>
  <c r="V29" i="1"/>
  <c r="S29" i="1"/>
  <c r="T29" i="1" s="1"/>
  <c r="V30" i="1"/>
  <c r="S30" i="1"/>
  <c r="T30" i="1" s="1"/>
  <c r="V31" i="1"/>
  <c r="S31" i="1"/>
  <c r="T31" i="1" s="1"/>
  <c r="V32" i="1"/>
  <c r="S32" i="1"/>
  <c r="V33" i="1"/>
  <c r="S33" i="1"/>
  <c r="T33" i="1" s="1"/>
  <c r="V34" i="1"/>
  <c r="S34" i="1"/>
  <c r="T34" i="1" s="1"/>
  <c r="V35" i="1"/>
  <c r="S35" i="1"/>
  <c r="V37" i="1"/>
  <c r="S37" i="1"/>
  <c r="T37" i="1" s="1"/>
  <c r="V38" i="1"/>
  <c r="S38" i="1"/>
  <c r="T38" i="1" s="1"/>
  <c r="V39" i="1"/>
  <c r="S39" i="1"/>
  <c r="T39" i="1" s="1"/>
  <c r="V40" i="1"/>
  <c r="S40" i="1"/>
  <c r="V41" i="1"/>
  <c r="S41" i="1"/>
  <c r="V42" i="1"/>
  <c r="S42" i="1"/>
  <c r="V44" i="1"/>
  <c r="S44" i="1"/>
  <c r="X45" i="1"/>
  <c r="X46" i="1"/>
  <c r="X47" i="1"/>
  <c r="X48" i="1"/>
  <c r="X49" i="1"/>
  <c r="X50" i="1"/>
  <c r="V52" i="1"/>
  <c r="S52" i="1"/>
  <c r="T52" i="1" s="1"/>
  <c r="V53" i="1"/>
  <c r="S53" i="1"/>
  <c r="X54" i="1"/>
  <c r="X55" i="1"/>
  <c r="X56" i="1"/>
  <c r="S58" i="1"/>
  <c r="X4" i="1"/>
  <c r="T61" i="1"/>
  <c r="Y33" i="1"/>
  <c r="Y34" i="1"/>
  <c r="Y35" i="1"/>
  <c r="W37" i="1"/>
  <c r="W38" i="1"/>
  <c r="W39" i="1"/>
  <c r="Y40" i="1"/>
  <c r="Y42" i="1"/>
  <c r="Y43" i="1"/>
  <c r="W45" i="1"/>
  <c r="W46" i="1"/>
  <c r="W47" i="1"/>
  <c r="W48" i="1"/>
  <c r="W49" i="1"/>
  <c r="W50" i="1"/>
  <c r="W51" i="1"/>
  <c r="W52" i="1"/>
  <c r="Y53" i="1"/>
  <c r="Y54" i="1"/>
  <c r="Y55" i="1"/>
  <c r="Y56" i="1"/>
  <c r="Y57" i="1"/>
  <c r="W59" i="1"/>
  <c r="W4" i="1"/>
  <c r="Y5" i="1"/>
  <c r="Y6" i="1"/>
  <c r="Y8" i="1"/>
  <c r="Y10" i="1"/>
  <c r="Y12" i="1"/>
  <c r="Y13" i="1"/>
  <c r="Y14" i="1"/>
  <c r="Y17" i="1"/>
  <c r="W19" i="1"/>
  <c r="W20" i="1"/>
  <c r="W21" i="1"/>
  <c r="W22" i="1"/>
  <c r="W23" i="1"/>
  <c r="W24" i="1"/>
  <c r="W25" i="1"/>
  <c r="Y26" i="1"/>
  <c r="Y27" i="1"/>
  <c r="Y28" i="1"/>
  <c r="Y29" i="1"/>
  <c r="Y30" i="1"/>
  <c r="Y31" i="1"/>
  <c r="V58" i="1" l="1"/>
  <c r="W58" i="1"/>
  <c r="T58" i="1"/>
  <c r="X16" i="1"/>
  <c r="T16" i="1"/>
  <c r="W16" i="1"/>
  <c r="Y11" i="1"/>
  <c r="Y9" i="1"/>
  <c r="Y7" i="1"/>
  <c r="X58" i="1"/>
  <c r="X53" i="1"/>
  <c r="T53" i="1"/>
  <c r="W53" i="1"/>
  <c r="W44" i="1"/>
  <c r="X44" i="1"/>
  <c r="T44" i="1"/>
  <c r="X42" i="1"/>
  <c r="W42" i="1"/>
  <c r="T42" i="1"/>
  <c r="W41" i="1"/>
  <c r="T41" i="1"/>
  <c r="W40" i="1"/>
  <c r="T40" i="1"/>
  <c r="X35" i="1"/>
  <c r="T35" i="1"/>
  <c r="T32" i="1"/>
  <c r="Y32" i="1"/>
  <c r="W26" i="1"/>
  <c r="T26" i="1"/>
  <c r="X21" i="1"/>
  <c r="X19" i="1"/>
  <c r="V18" i="1"/>
  <c r="V16" i="1"/>
  <c r="X13" i="1"/>
  <c r="V11" i="1"/>
  <c r="V10" i="1"/>
  <c r="V9" i="1"/>
  <c r="V8" i="1"/>
  <c r="V7" i="1"/>
  <c r="V6" i="1"/>
  <c r="V5" i="1"/>
  <c r="X23" i="1"/>
  <c r="V22" i="1"/>
  <c r="V21" i="1"/>
  <c r="V19" i="1"/>
  <c r="V15" i="1"/>
  <c r="V14" i="1"/>
  <c r="V13" i="1"/>
  <c r="X9" i="1"/>
  <c r="X7" i="1"/>
  <c r="W31" i="1"/>
  <c r="W29" i="1"/>
  <c r="W27" i="1"/>
  <c r="Y24" i="1"/>
  <c r="W13" i="1"/>
  <c r="W11" i="1"/>
  <c r="W9" i="1"/>
  <c r="W7" i="1"/>
  <c r="W5" i="1"/>
  <c r="Y58" i="1"/>
  <c r="Y51" i="1"/>
  <c r="Y39" i="1"/>
  <c r="Y37" i="1"/>
  <c r="W35" i="1"/>
  <c r="W33" i="1"/>
  <c r="X59" i="1"/>
  <c r="T59" i="1"/>
  <c r="X57" i="1"/>
  <c r="T57" i="1"/>
  <c r="X52" i="1"/>
  <c r="V50" i="1"/>
  <c r="V49" i="1"/>
  <c r="V48" i="1"/>
  <c r="V46" i="1"/>
  <c r="X40" i="1"/>
  <c r="X38" i="1"/>
  <c r="X36" i="1"/>
  <c r="W36" i="1"/>
  <c r="T36" i="1"/>
  <c r="X34" i="1"/>
  <c r="X32" i="1"/>
  <c r="X30" i="1"/>
  <c r="X28" i="1"/>
  <c r="X26" i="1"/>
  <c r="X17" i="1"/>
  <c r="W17" i="1"/>
  <c r="T17" i="1"/>
  <c r="X11" i="1"/>
  <c r="X18" i="1"/>
  <c r="W18" i="1"/>
  <c r="T18" i="1"/>
  <c r="X12" i="1"/>
  <c r="T12" i="1"/>
  <c r="X22" i="1"/>
  <c r="T22" i="1"/>
  <c r="X15" i="1"/>
  <c r="W15" i="1"/>
  <c r="T15" i="1"/>
  <c r="X10" i="1"/>
  <c r="X8" i="1"/>
  <c r="X5" i="1"/>
  <c r="Y21" i="1"/>
  <c r="Y19" i="1"/>
  <c r="Y16" i="1"/>
  <c r="W14" i="1"/>
  <c r="W12" i="1"/>
  <c r="W10" i="1"/>
  <c r="W8" i="1"/>
  <c r="W6" i="1"/>
  <c r="Y52" i="1"/>
  <c r="Y44" i="1"/>
  <c r="Y41" i="1"/>
  <c r="Y38" i="1"/>
  <c r="W34" i="1"/>
  <c r="X51" i="1"/>
  <c r="T51" i="1"/>
  <c r="X43" i="1"/>
  <c r="T43" i="1"/>
  <c r="X41" i="1"/>
  <c r="X39" i="1"/>
  <c r="X37" i="1"/>
  <c r="X33" i="1"/>
  <c r="X31" i="1"/>
  <c r="X29" i="1"/>
  <c r="X27" i="1"/>
  <c r="X24" i="1"/>
  <c r="X6" i="1"/>
</calcChain>
</file>

<file path=xl/sharedStrings.xml><?xml version="1.0" encoding="utf-8"?>
<sst xmlns="http://schemas.openxmlformats.org/spreadsheetml/2006/main" count="144" uniqueCount="121">
  <si>
    <t>Aldehyde</t>
  </si>
  <si>
    <t>Epoxide</t>
  </si>
  <si>
    <t>Produkt?</t>
  </si>
  <si>
    <t>Var 1</t>
  </si>
  <si>
    <t>Var 2</t>
  </si>
  <si>
    <t>Var 3</t>
  </si>
  <si>
    <t>Var 4</t>
  </si>
  <si>
    <t>Var 5</t>
  </si>
  <si>
    <t>Var 6</t>
  </si>
  <si>
    <t>Var 7</t>
  </si>
  <si>
    <t>Var 8</t>
  </si>
  <si>
    <t>Var 9</t>
  </si>
  <si>
    <t>Var 10</t>
  </si>
  <si>
    <t>Var 11</t>
  </si>
  <si>
    <t>Var 12</t>
  </si>
  <si>
    <t>Var 14</t>
  </si>
  <si>
    <t>Var 15</t>
  </si>
  <si>
    <t>Var 16</t>
  </si>
  <si>
    <t>Var 17</t>
  </si>
  <si>
    <t>Var 18</t>
  </si>
  <si>
    <t>Var 19</t>
  </si>
  <si>
    <t>Var 20</t>
  </si>
  <si>
    <t>Var 21</t>
  </si>
  <si>
    <t>Var 22</t>
  </si>
  <si>
    <t>Var 23</t>
  </si>
  <si>
    <t>Var 24</t>
  </si>
  <si>
    <t>Var 25</t>
  </si>
  <si>
    <t>Var 26</t>
  </si>
  <si>
    <t>Var 27</t>
  </si>
  <si>
    <t>Var 28</t>
  </si>
  <si>
    <t>Var 29</t>
  </si>
  <si>
    <t>Var 30</t>
  </si>
  <si>
    <t>Var 32</t>
  </si>
  <si>
    <t>Var 33</t>
  </si>
  <si>
    <t>Var 34</t>
  </si>
  <si>
    <t>Var 35</t>
  </si>
  <si>
    <t>Var 36</t>
  </si>
  <si>
    <t>Var 37</t>
  </si>
  <si>
    <t>Var 38</t>
  </si>
  <si>
    <t>Var 41</t>
  </si>
  <si>
    <t>Var 42</t>
  </si>
  <si>
    <t>Var 43</t>
  </si>
  <si>
    <t>Var 44</t>
  </si>
  <si>
    <t>Var 45</t>
  </si>
  <si>
    <t>Var 46</t>
  </si>
  <si>
    <t>Var 47</t>
  </si>
  <si>
    <t>Var 48</t>
  </si>
  <si>
    <t>Var 49</t>
  </si>
  <si>
    <t>Var 50</t>
  </si>
  <si>
    <t>wt</t>
  </si>
  <si>
    <t>LV</t>
  </si>
  <si>
    <t>empty</t>
  </si>
  <si>
    <t>wt average</t>
  </si>
  <si>
    <t>LV average</t>
  </si>
  <si>
    <t>P compared to wt</t>
  </si>
  <si>
    <t>Regioselektivity</t>
  </si>
  <si>
    <t>Delte below 0.5 wt activity</t>
  </si>
  <si>
    <t>activity compared to wt</t>
  </si>
  <si>
    <t>Regioselevtivity</t>
  </si>
  <si>
    <t>2,3-Epoxide</t>
  </si>
  <si>
    <t>6,7-Epoxide</t>
  </si>
  <si>
    <t>total activity</t>
  </si>
  <si>
    <t>Retention time</t>
  </si>
  <si>
    <t>Product</t>
  </si>
  <si>
    <t>Internal Standard (IS)</t>
  </si>
  <si>
    <t>Integrated Area</t>
  </si>
  <si>
    <t>Design 1</t>
  </si>
  <si>
    <t>Design 2</t>
  </si>
  <si>
    <t>Design 3</t>
  </si>
  <si>
    <t>Design 4</t>
  </si>
  <si>
    <t>Design 5</t>
  </si>
  <si>
    <t>Design 6</t>
  </si>
  <si>
    <t>Design 7</t>
  </si>
  <si>
    <t>Design 8</t>
  </si>
  <si>
    <t>Design 9</t>
  </si>
  <si>
    <t>Design 10</t>
  </si>
  <si>
    <t>Design 11</t>
  </si>
  <si>
    <t>Design 12</t>
  </si>
  <si>
    <t>Design 13</t>
  </si>
  <si>
    <t>Design 14</t>
  </si>
  <si>
    <t>Design 15</t>
  </si>
  <si>
    <t>Design 16</t>
  </si>
  <si>
    <t>Design 17</t>
  </si>
  <si>
    <t>Design 18</t>
  </si>
  <si>
    <t>Design 19</t>
  </si>
  <si>
    <t>Design 20</t>
  </si>
  <si>
    <t>Design 21</t>
  </si>
  <si>
    <t>Design 22</t>
  </si>
  <si>
    <t>Design 23</t>
  </si>
  <si>
    <t>Design 24</t>
  </si>
  <si>
    <t>Design 25</t>
  </si>
  <si>
    <t>Design 26</t>
  </si>
  <si>
    <t>Design 27</t>
  </si>
  <si>
    <t>Design 28</t>
  </si>
  <si>
    <t>Design 29</t>
  </si>
  <si>
    <t>Design 30</t>
  </si>
  <si>
    <t>Design 31</t>
  </si>
  <si>
    <t>Design 32</t>
  </si>
  <si>
    <t>Design 33</t>
  </si>
  <si>
    <t>Design 34</t>
  </si>
  <si>
    <t>Design 35</t>
  </si>
  <si>
    <t>Design 36</t>
  </si>
  <si>
    <t>Design 37</t>
  </si>
  <si>
    <t>Design 38</t>
  </si>
  <si>
    <t>Design 39</t>
  </si>
  <si>
    <t>Design 40</t>
  </si>
  <si>
    <t>Design 41</t>
  </si>
  <si>
    <t>Design 42</t>
  </si>
  <si>
    <t>Design 43</t>
  </si>
  <si>
    <t>Design 44</t>
  </si>
  <si>
    <t>Design 45</t>
  </si>
  <si>
    <t>Design 46</t>
  </si>
  <si>
    <t>Design 47</t>
  </si>
  <si>
    <t>Design 48</t>
  </si>
  <si>
    <t>Design 49</t>
  </si>
  <si>
    <t>Design 50</t>
  </si>
  <si>
    <t>Division of integrated area by area IS</t>
  </si>
  <si>
    <t>Deduction of background reaction (LV)</t>
  </si>
  <si>
    <t>Total sum of product</t>
  </si>
  <si>
    <t>Total sum of product divided by wild type activity</t>
  </si>
  <si>
    <t>LV = background reaction, empty vector (microtiter plate vials in which yeast grew but the inserted plasmid contained lacZ)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</si>
</sst>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9" fontId="0" fillId="0" borderId="0" xfId="1" applyFont="1"/>
    <xf numFmtId="165" fontId="0" fillId="0" borderId="0" xfId="0" applyNumberFormat="1" applyAlignment="1"/>
    <xf numFmtId="0" fontId="0" fillId="2" borderId="0" xfId="0" applyFill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B7601-147E-4827-99F4-9D93E04C7EA0}">
  <dimension ref="A1:Y64"/>
  <sheetViews>
    <sheetView tabSelected="1" workbookViewId="0">
      <pane ySplit="2" topLeftCell="A27" activePane="bottomLeft" state="frozen"/>
      <selection pane="bottomLeft" activeCell="G69" sqref="G69"/>
    </sheetView>
  </sheetViews>
  <sheetFormatPr defaultRowHeight="15" x14ac:dyDescent="0.25"/>
  <cols>
    <col min="1" max="1" width="14.5703125" bestFit="1" customWidth="1"/>
    <col min="2" max="2" width="20" bestFit="1" customWidth="1"/>
    <col min="3" max="3" width="9.5703125" bestFit="1" customWidth="1"/>
    <col min="19" max="19" width="14.7109375" customWidth="1"/>
    <col min="20" max="20" width="26.5703125" customWidth="1"/>
    <col min="21" max="21" width="15.42578125" bestFit="1" customWidth="1"/>
  </cols>
  <sheetData>
    <row r="1" spans="1:25" ht="28.5" customHeight="1" x14ac:dyDescent="0.25">
      <c r="B1" s="6" t="s">
        <v>65</v>
      </c>
      <c r="C1" s="6"/>
      <c r="D1" s="6"/>
      <c r="E1" s="6"/>
      <c r="F1" s="6"/>
      <c r="I1" s="6" t="s">
        <v>116</v>
      </c>
      <c r="J1" s="6"/>
      <c r="K1" s="6"/>
      <c r="L1" s="6"/>
      <c r="N1" s="6" t="s">
        <v>117</v>
      </c>
      <c r="O1" s="6"/>
      <c r="P1" s="6"/>
      <c r="Q1" s="6"/>
      <c r="S1" s="7" t="s">
        <v>118</v>
      </c>
      <c r="T1" s="7" t="s">
        <v>119</v>
      </c>
      <c r="V1" s="8" t="s">
        <v>55</v>
      </c>
      <c r="W1" s="8"/>
      <c r="X1" s="8"/>
      <c r="Y1" s="8"/>
    </row>
    <row r="2" spans="1:25" x14ac:dyDescent="0.25">
      <c r="A2" t="s">
        <v>63</v>
      </c>
      <c r="B2" t="s">
        <v>64</v>
      </c>
      <c r="C2" t="s">
        <v>0</v>
      </c>
      <c r="D2" t="s">
        <v>1</v>
      </c>
      <c r="E2" t="s">
        <v>2</v>
      </c>
      <c r="F2" t="s">
        <v>2</v>
      </c>
      <c r="I2" t="s">
        <v>0</v>
      </c>
      <c r="J2" t="s">
        <v>1</v>
      </c>
      <c r="K2" t="s">
        <v>2</v>
      </c>
      <c r="L2" t="s">
        <v>2</v>
      </c>
      <c r="N2" t="s">
        <v>0</v>
      </c>
      <c r="O2" t="s">
        <v>1</v>
      </c>
      <c r="P2" t="s">
        <v>2</v>
      </c>
      <c r="Q2" t="s">
        <v>2</v>
      </c>
      <c r="S2" t="s">
        <v>61</v>
      </c>
      <c r="T2" t="s">
        <v>54</v>
      </c>
      <c r="V2" t="s">
        <v>0</v>
      </c>
      <c r="W2" t="s">
        <v>1</v>
      </c>
      <c r="X2" t="s">
        <v>2</v>
      </c>
      <c r="Y2" t="s">
        <v>2</v>
      </c>
    </row>
    <row r="3" spans="1:25" x14ac:dyDescent="0.25">
      <c r="A3" t="s">
        <v>62</v>
      </c>
      <c r="B3">
        <v>12.24</v>
      </c>
      <c r="C3">
        <v>7.06</v>
      </c>
      <c r="D3">
        <v>8.4</v>
      </c>
      <c r="E3">
        <v>9</v>
      </c>
      <c r="F3">
        <v>10.9</v>
      </c>
      <c r="I3">
        <v>7.06</v>
      </c>
      <c r="J3">
        <v>8.4</v>
      </c>
      <c r="K3">
        <v>9</v>
      </c>
      <c r="L3">
        <v>10.9</v>
      </c>
      <c r="N3">
        <v>7.06</v>
      </c>
      <c r="O3">
        <v>8.4</v>
      </c>
      <c r="P3">
        <v>9</v>
      </c>
      <c r="Q3">
        <v>10.9</v>
      </c>
      <c r="V3">
        <v>7.06</v>
      </c>
      <c r="W3">
        <v>8.4</v>
      </c>
      <c r="X3">
        <v>9</v>
      </c>
      <c r="Y3">
        <v>10.9</v>
      </c>
    </row>
    <row r="4" spans="1:25" x14ac:dyDescent="0.25">
      <c r="A4" t="s">
        <v>66</v>
      </c>
      <c r="B4">
        <v>5331327</v>
      </c>
      <c r="C4">
        <v>2234181</v>
      </c>
      <c r="D4">
        <v>1068730</v>
      </c>
      <c r="E4">
        <v>48367</v>
      </c>
      <c r="F4">
        <v>0</v>
      </c>
      <c r="I4">
        <f>C4/$B4</f>
        <v>0.41906658511098643</v>
      </c>
      <c r="J4">
        <f t="shared" ref="J4:L4" si="0">D4/$B4</f>
        <v>0.20046228640636748</v>
      </c>
      <c r="K4">
        <f>E4/$B4</f>
        <v>9.0722253577767784E-3</v>
      </c>
      <c r="L4">
        <f t="shared" si="0"/>
        <v>0</v>
      </c>
      <c r="N4" s="1">
        <f>I4-I$61</f>
        <v>0.40941756106315502</v>
      </c>
      <c r="O4" s="1">
        <f t="shared" ref="O4:Q4" si="1">J4-J$61</f>
        <v>0.19685025452537624</v>
      </c>
      <c r="P4" s="1">
        <f t="shared" si="1"/>
        <v>5.8175676558235353E-3</v>
      </c>
      <c r="Q4" s="1">
        <f t="shared" si="1"/>
        <v>0</v>
      </c>
      <c r="S4" s="1">
        <f>SUM(N4:Q4)</f>
        <v>0.6120853832443548</v>
      </c>
      <c r="T4" s="2">
        <f>S4/$S$60</f>
        <v>2.8325207868556186</v>
      </c>
      <c r="V4" s="3">
        <f>N4/$S4</f>
        <v>0.66888962270760288</v>
      </c>
      <c r="W4" s="3">
        <f t="shared" ref="W4:Y4" si="2">O4/$S4</f>
        <v>0.32160587381122008</v>
      </c>
      <c r="X4" s="3">
        <f t="shared" si="2"/>
        <v>9.5045034811770106E-3</v>
      </c>
      <c r="Y4" s="3">
        <f t="shared" si="2"/>
        <v>0</v>
      </c>
    </row>
    <row r="5" spans="1:25" x14ac:dyDescent="0.25">
      <c r="A5" t="s">
        <v>67</v>
      </c>
      <c r="B5">
        <v>6112292</v>
      </c>
      <c r="C5">
        <v>753756</v>
      </c>
      <c r="D5">
        <v>2177155</v>
      </c>
      <c r="E5">
        <v>618392</v>
      </c>
      <c r="F5">
        <v>306277</v>
      </c>
      <c r="I5">
        <f t="shared" ref="I5:I61" si="3">C5/$B5</f>
        <v>0.12331806137534006</v>
      </c>
      <c r="J5">
        <f t="shared" ref="J5:J61" si="4">D5/$B5</f>
        <v>0.35619289785239316</v>
      </c>
      <c r="K5">
        <f t="shared" ref="K5:K61" si="5">E5/$B5</f>
        <v>0.10117186809792464</v>
      </c>
      <c r="L5">
        <f t="shared" ref="L5:L61" si="6">F5/$B5</f>
        <v>5.0108371785902897E-2</v>
      </c>
      <c r="N5" s="1">
        <f t="shared" ref="N5:N61" si="7">I5-I$61</f>
        <v>0.11366903732750865</v>
      </c>
      <c r="O5" s="1">
        <f t="shared" ref="O5:O61" si="8">J5-J$61</f>
        <v>0.35258086597140192</v>
      </c>
      <c r="P5" s="1">
        <f t="shared" ref="P5:P61" si="9">K5-K$61</f>
        <v>9.7917210395971399E-2</v>
      </c>
      <c r="Q5" s="1">
        <f t="shared" ref="Q5:Q61" si="10">L5-L$61</f>
        <v>5.0108371785902897E-2</v>
      </c>
      <c r="S5" s="1">
        <f t="shared" ref="S5:S61" si="11">SUM(N5:Q5)</f>
        <v>0.61427548548078492</v>
      </c>
      <c r="T5" s="2">
        <f t="shared" ref="T5:T61" si="12">S5/$S$60</f>
        <v>2.8426558272925355</v>
      </c>
      <c r="V5" s="3">
        <f t="shared" ref="V5:V60" si="13">N5/$S5</f>
        <v>0.18504570020166353</v>
      </c>
      <c r="W5" s="3">
        <f t="shared" ref="W5:W60" si="14">O5/$S5</f>
        <v>0.57397840920746135</v>
      </c>
      <c r="X5" s="3">
        <f t="shared" ref="X5:X60" si="15">P5/$S5</f>
        <v>0.15940276424889877</v>
      </c>
      <c r="Y5" s="3">
        <f t="shared" ref="Y5:Y60" si="16">Q5/$S5</f>
        <v>8.1573126341976304E-2</v>
      </c>
    </row>
    <row r="6" spans="1:25" x14ac:dyDescent="0.25">
      <c r="A6" t="s">
        <v>68</v>
      </c>
      <c r="B6">
        <v>5895539</v>
      </c>
      <c r="C6">
        <v>2334661</v>
      </c>
      <c r="D6">
        <v>75758</v>
      </c>
      <c r="E6">
        <v>91543</v>
      </c>
      <c r="F6">
        <v>17416</v>
      </c>
      <c r="I6">
        <f t="shared" si="3"/>
        <v>0.39600467404252604</v>
      </c>
      <c r="J6">
        <f t="shared" si="4"/>
        <v>1.2850054931364206E-2</v>
      </c>
      <c r="K6">
        <f t="shared" si="5"/>
        <v>1.5527503083263464E-2</v>
      </c>
      <c r="L6">
        <f t="shared" si="6"/>
        <v>2.9540980052884052E-3</v>
      </c>
      <c r="N6" s="1">
        <f t="shared" si="7"/>
        <v>0.38635564999469463</v>
      </c>
      <c r="O6" s="1">
        <f t="shared" si="8"/>
        <v>9.238023050372959E-3</v>
      </c>
      <c r="P6" s="1">
        <f t="shared" si="9"/>
        <v>1.227284538131022E-2</v>
      </c>
      <c r="Q6" s="1">
        <f t="shared" si="10"/>
        <v>2.9540980052884052E-3</v>
      </c>
      <c r="S6" s="1">
        <f t="shared" si="11"/>
        <v>0.41082061643166623</v>
      </c>
      <c r="T6" s="2">
        <f t="shared" si="12"/>
        <v>1.9011366184625613</v>
      </c>
      <c r="V6" s="3">
        <f t="shared" si="13"/>
        <v>0.94044854260365252</v>
      </c>
      <c r="W6" s="3">
        <f t="shared" si="14"/>
        <v>2.248675621640708E-2</v>
      </c>
      <c r="X6" s="3">
        <f t="shared" si="15"/>
        <v>2.987397635471788E-2</v>
      </c>
      <c r="Y6" s="3">
        <f t="shared" si="16"/>
        <v>7.19072482522253E-3</v>
      </c>
    </row>
    <row r="7" spans="1:25" x14ac:dyDescent="0.25">
      <c r="A7" t="s">
        <v>69</v>
      </c>
      <c r="B7">
        <v>5393403</v>
      </c>
      <c r="C7">
        <v>4370647</v>
      </c>
      <c r="D7">
        <v>66872</v>
      </c>
      <c r="E7">
        <v>27395</v>
      </c>
      <c r="F7">
        <v>0</v>
      </c>
      <c r="I7">
        <f t="shared" si="3"/>
        <v>0.81036907496065103</v>
      </c>
      <c r="J7">
        <f t="shared" si="4"/>
        <v>1.2398850966634609E-2</v>
      </c>
      <c r="K7">
        <f t="shared" si="5"/>
        <v>5.0793534249155871E-3</v>
      </c>
      <c r="L7">
        <f t="shared" si="6"/>
        <v>0</v>
      </c>
      <c r="N7" s="1">
        <f t="shared" si="7"/>
        <v>0.80072005091281961</v>
      </c>
      <c r="O7" s="1">
        <f t="shared" si="8"/>
        <v>8.7868190856433617E-3</v>
      </c>
      <c r="P7" s="1">
        <f t="shared" si="9"/>
        <v>1.8246957229623435E-3</v>
      </c>
      <c r="Q7" s="1">
        <f t="shared" si="10"/>
        <v>0</v>
      </c>
      <c r="S7" s="1">
        <f t="shared" si="11"/>
        <v>0.81133156572142529</v>
      </c>
      <c r="T7" s="2">
        <f t="shared" si="12"/>
        <v>3.7545636407079614</v>
      </c>
      <c r="V7" s="3">
        <f t="shared" si="13"/>
        <v>0.98692086533183254</v>
      </c>
      <c r="W7" s="3">
        <f t="shared" si="14"/>
        <v>1.0830121071192687E-2</v>
      </c>
      <c r="X7" s="3">
        <f t="shared" si="15"/>
        <v>2.2490135969748053E-3</v>
      </c>
      <c r="Y7" s="3">
        <f t="shared" si="16"/>
        <v>0</v>
      </c>
    </row>
    <row r="8" spans="1:25" x14ac:dyDescent="0.25">
      <c r="A8" t="s">
        <v>70</v>
      </c>
      <c r="B8">
        <v>6111077</v>
      </c>
      <c r="C8">
        <v>1268570</v>
      </c>
      <c r="D8">
        <v>952265</v>
      </c>
      <c r="E8">
        <v>334922</v>
      </c>
      <c r="F8">
        <v>263034</v>
      </c>
      <c r="I8">
        <f t="shared" si="3"/>
        <v>0.20758534052180982</v>
      </c>
      <c r="J8">
        <f t="shared" si="4"/>
        <v>0.1558260516108699</v>
      </c>
      <c r="K8">
        <f t="shared" si="5"/>
        <v>5.4805724097405417E-2</v>
      </c>
      <c r="L8">
        <f t="shared" si="6"/>
        <v>4.3042167526280553E-2</v>
      </c>
      <c r="N8" s="1">
        <f t="shared" si="7"/>
        <v>0.19793631647397841</v>
      </c>
      <c r="O8" s="1">
        <f t="shared" si="8"/>
        <v>0.15221401972987866</v>
      </c>
      <c r="P8" s="1">
        <f t="shared" si="9"/>
        <v>5.1551066395452171E-2</v>
      </c>
      <c r="Q8" s="1">
        <f t="shared" si="10"/>
        <v>4.3042167526280553E-2</v>
      </c>
      <c r="S8" s="1">
        <f t="shared" si="11"/>
        <v>0.44474357012558974</v>
      </c>
      <c r="T8" s="2">
        <f t="shared" si="12"/>
        <v>2.0581203892238689</v>
      </c>
      <c r="V8" s="3">
        <f t="shared" si="13"/>
        <v>0.44505717399822958</v>
      </c>
      <c r="W8" s="3">
        <f t="shared" si="14"/>
        <v>0.34225119811601867</v>
      </c>
      <c r="X8" s="3">
        <f t="shared" si="15"/>
        <v>0.11591188689000007</v>
      </c>
      <c r="Y8" s="3">
        <f t="shared" si="16"/>
        <v>9.6779740995751803E-2</v>
      </c>
    </row>
    <row r="9" spans="1:25" x14ac:dyDescent="0.25">
      <c r="A9" t="s">
        <v>71</v>
      </c>
      <c r="B9">
        <v>5953449</v>
      </c>
      <c r="C9">
        <v>745830</v>
      </c>
      <c r="D9">
        <v>762799</v>
      </c>
      <c r="E9">
        <v>231916</v>
      </c>
      <c r="F9">
        <v>169917</v>
      </c>
      <c r="I9">
        <f t="shared" si="3"/>
        <v>0.12527696130427926</v>
      </c>
      <c r="J9">
        <f t="shared" si="4"/>
        <v>0.1281272418727363</v>
      </c>
      <c r="K9">
        <f t="shared" si="5"/>
        <v>3.8954898244698159E-2</v>
      </c>
      <c r="L9">
        <f t="shared" si="6"/>
        <v>2.8540934842979253E-2</v>
      </c>
      <c r="N9" s="1">
        <f t="shared" si="7"/>
        <v>0.11562793725644785</v>
      </c>
      <c r="O9" s="1">
        <f t="shared" si="8"/>
        <v>0.12451520999174506</v>
      </c>
      <c r="P9" s="1">
        <f t="shared" si="9"/>
        <v>3.5700240542744913E-2</v>
      </c>
      <c r="Q9" s="1">
        <f t="shared" si="10"/>
        <v>2.8540934842979253E-2</v>
      </c>
      <c r="S9" s="1">
        <f t="shared" si="11"/>
        <v>0.30438432263391707</v>
      </c>
      <c r="T9" s="2">
        <f t="shared" si="12"/>
        <v>1.4085860317127399</v>
      </c>
      <c r="V9" s="3">
        <f t="shared" si="13"/>
        <v>0.37987481173763843</v>
      </c>
      <c r="W9" s="3">
        <f t="shared" si="14"/>
        <v>0.40907234943732457</v>
      </c>
      <c r="X9" s="3">
        <f t="shared" si="15"/>
        <v>0.11728672565597796</v>
      </c>
      <c r="Y9" s="3">
        <f t="shared" si="16"/>
        <v>9.3766113169059057E-2</v>
      </c>
    </row>
    <row r="10" spans="1:25" x14ac:dyDescent="0.25">
      <c r="A10" t="s">
        <v>72</v>
      </c>
      <c r="B10">
        <v>5858173</v>
      </c>
      <c r="C10">
        <v>2079377</v>
      </c>
      <c r="D10">
        <v>29150</v>
      </c>
      <c r="E10">
        <v>30603</v>
      </c>
      <c r="F10">
        <v>0</v>
      </c>
      <c r="I10">
        <f t="shared" si="3"/>
        <v>0.35495315689721008</v>
      </c>
      <c r="J10">
        <f t="shared" si="4"/>
        <v>4.9759541071934888E-3</v>
      </c>
      <c r="K10">
        <f t="shared" si="5"/>
        <v>5.2239836549722923E-3</v>
      </c>
      <c r="L10">
        <f t="shared" si="6"/>
        <v>0</v>
      </c>
      <c r="N10" s="1">
        <f t="shared" si="7"/>
        <v>0.34530413284937866</v>
      </c>
      <c r="O10" s="1">
        <f t="shared" si="8"/>
        <v>1.3639222262022419E-3</v>
      </c>
      <c r="P10" s="1">
        <f t="shared" si="9"/>
        <v>1.9693259530190487E-3</v>
      </c>
      <c r="Q10" s="1">
        <f t="shared" si="10"/>
        <v>0</v>
      </c>
      <c r="S10" s="1">
        <f t="shared" si="11"/>
        <v>0.34863738102859998</v>
      </c>
      <c r="T10" s="2">
        <f t="shared" si="12"/>
        <v>1.6133739766894195</v>
      </c>
      <c r="V10" s="3">
        <f t="shared" si="13"/>
        <v>0.99043921174090088</v>
      </c>
      <c r="W10" s="3">
        <f t="shared" si="14"/>
        <v>3.9121514227137754E-3</v>
      </c>
      <c r="X10" s="3">
        <f t="shared" si="15"/>
        <v>5.6486368363853042E-3</v>
      </c>
      <c r="Y10" s="3">
        <f t="shared" si="16"/>
        <v>0</v>
      </c>
    </row>
    <row r="11" spans="1:25" x14ac:dyDescent="0.25">
      <c r="A11" t="s">
        <v>73</v>
      </c>
      <c r="B11">
        <v>6031719</v>
      </c>
      <c r="C11">
        <v>2706036</v>
      </c>
      <c r="D11">
        <v>79115</v>
      </c>
      <c r="E11">
        <v>28715</v>
      </c>
      <c r="F11">
        <v>0</v>
      </c>
      <c r="I11">
        <f t="shared" si="3"/>
        <v>0.44863429480053696</v>
      </c>
      <c r="J11">
        <f t="shared" si="4"/>
        <v>1.3116492993125176E-2</v>
      </c>
      <c r="K11">
        <f t="shared" si="5"/>
        <v>4.7606660721429498E-3</v>
      </c>
      <c r="L11">
        <f t="shared" si="6"/>
        <v>0</v>
      </c>
      <c r="N11" s="1">
        <f t="shared" si="7"/>
        <v>0.43898527075270555</v>
      </c>
      <c r="O11" s="1">
        <f t="shared" si="8"/>
        <v>9.5044611121339294E-3</v>
      </c>
      <c r="P11" s="1">
        <f t="shared" si="9"/>
        <v>1.5060083701897062E-3</v>
      </c>
      <c r="Q11" s="1">
        <f t="shared" si="10"/>
        <v>0</v>
      </c>
      <c r="S11" s="1">
        <f t="shared" si="11"/>
        <v>0.4499957402350292</v>
      </c>
      <c r="T11" s="2">
        <f t="shared" si="12"/>
        <v>2.0824256273790986</v>
      </c>
      <c r="V11" s="3">
        <f t="shared" si="13"/>
        <v>0.97553205842221313</v>
      </c>
      <c r="W11" s="3">
        <f t="shared" si="14"/>
        <v>2.1121224630192777E-2</v>
      </c>
      <c r="X11" s="3">
        <f t="shared" si="15"/>
        <v>3.3467169475940597E-3</v>
      </c>
      <c r="Y11" s="3">
        <f t="shared" si="16"/>
        <v>0</v>
      </c>
    </row>
    <row r="12" spans="1:25" x14ac:dyDescent="0.25">
      <c r="A12" t="s">
        <v>74</v>
      </c>
      <c r="B12">
        <v>6105454</v>
      </c>
      <c r="C12">
        <v>1304611</v>
      </c>
      <c r="D12">
        <v>39886</v>
      </c>
      <c r="E12">
        <v>14083</v>
      </c>
      <c r="F12">
        <v>0</v>
      </c>
      <c r="I12">
        <f t="shared" si="3"/>
        <v>0.21367960515303203</v>
      </c>
      <c r="J12">
        <f t="shared" si="4"/>
        <v>6.5328475163353942E-3</v>
      </c>
      <c r="K12">
        <f t="shared" si="5"/>
        <v>2.3066261739094259E-3</v>
      </c>
      <c r="L12">
        <f t="shared" si="6"/>
        <v>0</v>
      </c>
      <c r="N12" s="1">
        <f t="shared" si="7"/>
        <v>0.20403058110520061</v>
      </c>
      <c r="O12" s="1">
        <f t="shared" si="8"/>
        <v>2.9208156353441473E-3</v>
      </c>
      <c r="P12" s="1">
        <v>0</v>
      </c>
      <c r="Q12" s="1">
        <f t="shared" si="10"/>
        <v>0</v>
      </c>
      <c r="S12" s="1">
        <f t="shared" si="11"/>
        <v>0.20695139674054477</v>
      </c>
      <c r="T12" s="2">
        <f t="shared" si="12"/>
        <v>0.95769993726901104</v>
      </c>
      <c r="V12" s="3">
        <f t="shared" si="13"/>
        <v>0.98588646570476646</v>
      </c>
      <c r="W12" s="3">
        <f t="shared" si="14"/>
        <v>1.4113534295233472E-2</v>
      </c>
      <c r="X12" s="3">
        <f t="shared" si="15"/>
        <v>0</v>
      </c>
      <c r="Y12" s="3">
        <f t="shared" si="16"/>
        <v>0</v>
      </c>
    </row>
    <row r="13" spans="1:25" x14ac:dyDescent="0.25">
      <c r="A13" t="s">
        <v>75</v>
      </c>
      <c r="B13">
        <v>5883717</v>
      </c>
      <c r="C13">
        <v>1602973</v>
      </c>
      <c r="D13">
        <v>25836</v>
      </c>
      <c r="E13">
        <v>20799</v>
      </c>
      <c r="F13">
        <v>0</v>
      </c>
      <c r="I13">
        <f t="shared" si="3"/>
        <v>0.27244223337050372</v>
      </c>
      <c r="J13">
        <f t="shared" si="4"/>
        <v>4.3911017474157921E-3</v>
      </c>
      <c r="K13">
        <f t="shared" si="5"/>
        <v>3.5350102664693083E-3</v>
      </c>
      <c r="L13">
        <f t="shared" si="6"/>
        <v>0</v>
      </c>
      <c r="N13" s="1">
        <f t="shared" si="7"/>
        <v>0.26279320932267231</v>
      </c>
      <c r="O13" s="1">
        <f t="shared" si="8"/>
        <v>7.7906986642454525E-4</v>
      </c>
      <c r="P13" s="1">
        <f t="shared" si="9"/>
        <v>2.8035256451606474E-4</v>
      </c>
      <c r="Q13" s="1">
        <f t="shared" si="10"/>
        <v>0</v>
      </c>
      <c r="S13" s="1">
        <f t="shared" si="11"/>
        <v>0.26385263175361295</v>
      </c>
      <c r="T13" s="2">
        <f t="shared" si="12"/>
        <v>1.2210192966008266</v>
      </c>
      <c r="V13" s="3">
        <f t="shared" si="13"/>
        <v>0.99598479490653724</v>
      </c>
      <c r="W13" s="3">
        <f t="shared" si="14"/>
        <v>2.9526704404906029E-3</v>
      </c>
      <c r="X13" s="3">
        <f t="shared" si="15"/>
        <v>1.0625346529719647E-3</v>
      </c>
      <c r="Y13" s="3">
        <f t="shared" si="16"/>
        <v>0</v>
      </c>
    </row>
    <row r="14" spans="1:25" x14ac:dyDescent="0.25">
      <c r="A14" t="s">
        <v>76</v>
      </c>
      <c r="B14">
        <v>6457955</v>
      </c>
      <c r="C14">
        <v>2062157</v>
      </c>
      <c r="D14">
        <v>31246</v>
      </c>
      <c r="E14">
        <v>62820</v>
      </c>
      <c r="F14">
        <v>0</v>
      </c>
      <c r="I14">
        <f t="shared" si="3"/>
        <v>0.31932043502935525</v>
      </c>
      <c r="J14">
        <f t="shared" si="4"/>
        <v>4.8383737576368994E-3</v>
      </c>
      <c r="K14">
        <f t="shared" si="5"/>
        <v>9.727537587363182E-3</v>
      </c>
      <c r="L14">
        <f t="shared" si="6"/>
        <v>0</v>
      </c>
      <c r="N14" s="1">
        <f t="shared" si="7"/>
        <v>0.30967141098152384</v>
      </c>
      <c r="O14" s="1">
        <f t="shared" si="8"/>
        <v>1.2263418766456525E-3</v>
      </c>
      <c r="P14" s="1">
        <f t="shared" si="9"/>
        <v>6.4728798854099389E-3</v>
      </c>
      <c r="Q14" s="1">
        <f t="shared" si="10"/>
        <v>0</v>
      </c>
      <c r="S14" s="1">
        <f t="shared" si="11"/>
        <v>0.31737063274357946</v>
      </c>
      <c r="T14" s="2">
        <f t="shared" si="12"/>
        <v>1.4686822116528631</v>
      </c>
      <c r="V14" s="3">
        <f t="shared" si="13"/>
        <v>0.97574059800209612</v>
      </c>
      <c r="W14" s="3">
        <f t="shared" si="14"/>
        <v>3.8640685372943093E-3</v>
      </c>
      <c r="X14" s="3">
        <f t="shared" si="15"/>
        <v>2.039533346060951E-2</v>
      </c>
      <c r="Y14" s="3">
        <f t="shared" si="16"/>
        <v>0</v>
      </c>
    </row>
    <row r="15" spans="1:25" x14ac:dyDescent="0.25">
      <c r="A15" t="s">
        <v>77</v>
      </c>
      <c r="B15">
        <v>6226544</v>
      </c>
      <c r="C15">
        <v>1012821</v>
      </c>
      <c r="D15">
        <v>13300</v>
      </c>
      <c r="E15">
        <v>0</v>
      </c>
      <c r="F15">
        <v>0</v>
      </c>
      <c r="I15">
        <f t="shared" si="3"/>
        <v>0.16266182331643364</v>
      </c>
      <c r="J15">
        <f t="shared" si="4"/>
        <v>2.1360163840486793E-3</v>
      </c>
      <c r="K15">
        <f t="shared" si="5"/>
        <v>0</v>
      </c>
      <c r="L15">
        <f t="shared" si="6"/>
        <v>0</v>
      </c>
      <c r="N15" s="1">
        <f t="shared" si="7"/>
        <v>0.15301279926860223</v>
      </c>
      <c r="O15" s="1">
        <v>0</v>
      </c>
      <c r="P15" s="1">
        <v>0</v>
      </c>
      <c r="Q15" s="1">
        <f t="shared" si="10"/>
        <v>0</v>
      </c>
      <c r="S15" s="1">
        <f t="shared" si="11"/>
        <v>0.15301279926860223</v>
      </c>
      <c r="T15" s="2">
        <f t="shared" si="12"/>
        <v>0.70809064625262697</v>
      </c>
      <c r="V15" s="3">
        <f t="shared" si="13"/>
        <v>1</v>
      </c>
      <c r="W15" s="3">
        <f t="shared" si="14"/>
        <v>0</v>
      </c>
      <c r="X15" s="3">
        <f t="shared" si="15"/>
        <v>0</v>
      </c>
      <c r="Y15" s="3">
        <f t="shared" si="16"/>
        <v>0</v>
      </c>
    </row>
    <row r="16" spans="1:25" x14ac:dyDescent="0.25">
      <c r="A16" t="s">
        <v>78</v>
      </c>
      <c r="B16">
        <v>6616843</v>
      </c>
      <c r="C16">
        <v>678884</v>
      </c>
      <c r="D16">
        <v>30274</v>
      </c>
      <c r="E16">
        <v>0</v>
      </c>
      <c r="F16">
        <v>0</v>
      </c>
      <c r="I16">
        <f t="shared" si="3"/>
        <v>0.10259938160841961</v>
      </c>
      <c r="J16">
        <f t="shared" si="4"/>
        <v>4.575293686127962E-3</v>
      </c>
      <c r="K16">
        <f t="shared" si="5"/>
        <v>0</v>
      </c>
      <c r="L16">
        <f t="shared" si="6"/>
        <v>0</v>
      </c>
      <c r="N16" s="1">
        <f t="shared" si="7"/>
        <v>9.2950357560588198E-2</v>
      </c>
      <c r="O16" s="1">
        <f t="shared" si="8"/>
        <v>9.6326180513671509E-4</v>
      </c>
      <c r="P16" s="1">
        <v>0</v>
      </c>
      <c r="Q16" s="1">
        <f t="shared" si="10"/>
        <v>0</v>
      </c>
      <c r="S16" s="1">
        <f t="shared" si="11"/>
        <v>9.3913619365724912E-2</v>
      </c>
      <c r="T16" s="2">
        <f t="shared" si="12"/>
        <v>0.43459995337948726</v>
      </c>
      <c r="V16" s="3">
        <f t="shared" si="13"/>
        <v>0.98974310849009539</v>
      </c>
      <c r="W16" s="3">
        <f t="shared" si="14"/>
        <v>1.025689150990459E-2</v>
      </c>
      <c r="X16" s="3">
        <f t="shared" si="15"/>
        <v>0</v>
      </c>
      <c r="Y16" s="3">
        <f t="shared" si="16"/>
        <v>0</v>
      </c>
    </row>
    <row r="17" spans="1:25" x14ac:dyDescent="0.25">
      <c r="A17" t="s">
        <v>79</v>
      </c>
      <c r="B17">
        <v>6603891</v>
      </c>
      <c r="C17">
        <v>2451990</v>
      </c>
      <c r="D17">
        <v>0</v>
      </c>
      <c r="E17">
        <v>0</v>
      </c>
      <c r="F17">
        <v>0</v>
      </c>
      <c r="I17">
        <f t="shared" si="3"/>
        <v>0.37129474123664369</v>
      </c>
      <c r="J17">
        <f t="shared" si="4"/>
        <v>0</v>
      </c>
      <c r="K17">
        <f t="shared" si="5"/>
        <v>0</v>
      </c>
      <c r="L17">
        <f t="shared" si="6"/>
        <v>0</v>
      </c>
      <c r="N17" s="1">
        <f t="shared" si="7"/>
        <v>0.36164571718881228</v>
      </c>
      <c r="O17" s="1">
        <v>0</v>
      </c>
      <c r="P17" s="1">
        <v>0</v>
      </c>
      <c r="Q17" s="1">
        <f t="shared" si="10"/>
        <v>0</v>
      </c>
      <c r="S17" s="1">
        <f t="shared" si="11"/>
        <v>0.36164571718881228</v>
      </c>
      <c r="T17" s="2">
        <f t="shared" si="12"/>
        <v>1.6735720856213843</v>
      </c>
      <c r="V17" s="3">
        <f t="shared" si="13"/>
        <v>1</v>
      </c>
      <c r="W17" s="3">
        <f t="shared" si="14"/>
        <v>0</v>
      </c>
      <c r="X17" s="3">
        <f t="shared" si="15"/>
        <v>0</v>
      </c>
      <c r="Y17" s="3">
        <f t="shared" si="16"/>
        <v>0</v>
      </c>
    </row>
    <row r="18" spans="1:25" x14ac:dyDescent="0.25">
      <c r="A18" t="s">
        <v>80</v>
      </c>
      <c r="B18">
        <v>6522360</v>
      </c>
      <c r="C18">
        <v>1928316</v>
      </c>
      <c r="D18">
        <v>14681</v>
      </c>
      <c r="E18">
        <v>20278</v>
      </c>
      <c r="F18">
        <v>0</v>
      </c>
      <c r="I18">
        <f t="shared" si="3"/>
        <v>0.29564697440803633</v>
      </c>
      <c r="J18">
        <f t="shared" si="4"/>
        <v>2.2508723836157465E-3</v>
      </c>
      <c r="K18">
        <f t="shared" si="5"/>
        <v>3.1089973567849675E-3</v>
      </c>
      <c r="L18">
        <f t="shared" si="6"/>
        <v>0</v>
      </c>
      <c r="N18" s="1">
        <f t="shared" si="7"/>
        <v>0.28599795036020492</v>
      </c>
      <c r="O18" s="1">
        <v>0</v>
      </c>
      <c r="P18" s="1">
        <v>0</v>
      </c>
      <c r="Q18" s="1">
        <f t="shared" si="10"/>
        <v>0</v>
      </c>
      <c r="S18" s="1">
        <f t="shared" si="11"/>
        <v>0.28599795036020492</v>
      </c>
      <c r="T18" s="2">
        <f t="shared" si="12"/>
        <v>1.3235002200174713</v>
      </c>
      <c r="V18" s="3">
        <f t="shared" si="13"/>
        <v>1</v>
      </c>
      <c r="W18" s="3">
        <f t="shared" si="14"/>
        <v>0</v>
      </c>
      <c r="X18" s="3">
        <f t="shared" si="15"/>
        <v>0</v>
      </c>
      <c r="Y18" s="3">
        <f t="shared" si="16"/>
        <v>0</v>
      </c>
    </row>
    <row r="19" spans="1:25" x14ac:dyDescent="0.25">
      <c r="A19" t="s">
        <v>81</v>
      </c>
      <c r="B19">
        <v>6183058</v>
      </c>
      <c r="C19">
        <v>1065432</v>
      </c>
      <c r="D19">
        <v>23408</v>
      </c>
      <c r="E19">
        <v>116173</v>
      </c>
      <c r="F19">
        <v>0</v>
      </c>
      <c r="I19">
        <f t="shared" si="3"/>
        <v>0.17231473487714333</v>
      </c>
      <c r="J19">
        <f t="shared" si="4"/>
        <v>3.7858289538930411E-3</v>
      </c>
      <c r="K19">
        <f t="shared" si="5"/>
        <v>1.8788922892199945E-2</v>
      </c>
      <c r="L19">
        <f t="shared" si="6"/>
        <v>0</v>
      </c>
      <c r="N19" s="1">
        <f t="shared" si="7"/>
        <v>0.16266571082931192</v>
      </c>
      <c r="O19" s="1">
        <f t="shared" si="8"/>
        <v>1.7379707290179425E-4</v>
      </c>
      <c r="P19" s="1">
        <f t="shared" si="9"/>
        <v>1.5534265190246702E-2</v>
      </c>
      <c r="Q19" s="1">
        <f t="shared" si="10"/>
        <v>0</v>
      </c>
      <c r="S19" s="1">
        <f t="shared" si="11"/>
        <v>0.17837377309246041</v>
      </c>
      <c r="T19" s="2">
        <f t="shared" si="12"/>
        <v>0.82545251683057796</v>
      </c>
      <c r="V19" s="3">
        <f t="shared" si="13"/>
        <v>0.91193737739120317</v>
      </c>
      <c r="W19" s="3">
        <f t="shared" si="14"/>
        <v>9.7434207893167218E-4</v>
      </c>
      <c r="X19" s="3">
        <f t="shared" si="15"/>
        <v>8.7088280529865142E-2</v>
      </c>
      <c r="Y19" s="3">
        <f t="shared" si="16"/>
        <v>0</v>
      </c>
    </row>
    <row r="20" spans="1:25" x14ac:dyDescent="0.25">
      <c r="A20" t="s">
        <v>82</v>
      </c>
      <c r="B20">
        <v>5986220</v>
      </c>
      <c r="C20">
        <v>1084451</v>
      </c>
      <c r="D20">
        <v>148280</v>
      </c>
      <c r="E20">
        <v>57257</v>
      </c>
      <c r="F20">
        <v>0</v>
      </c>
      <c r="I20">
        <f t="shared" si="3"/>
        <v>0.18115789262673274</v>
      </c>
      <c r="J20">
        <f t="shared" si="4"/>
        <v>2.4770222277163217E-2</v>
      </c>
      <c r="K20">
        <f t="shared" si="5"/>
        <v>9.5648004917961577E-3</v>
      </c>
      <c r="L20">
        <f t="shared" si="6"/>
        <v>0</v>
      </c>
      <c r="N20" s="1">
        <f t="shared" si="7"/>
        <v>0.17150886857890132</v>
      </c>
      <c r="O20" s="1">
        <f t="shared" si="8"/>
        <v>2.1158190396171971E-2</v>
      </c>
      <c r="P20" s="1">
        <f t="shared" si="9"/>
        <v>6.3101427898429145E-3</v>
      </c>
      <c r="Q20" s="1">
        <f t="shared" si="10"/>
        <v>0</v>
      </c>
      <c r="S20" s="1">
        <f t="shared" si="11"/>
        <v>0.19897720176491621</v>
      </c>
      <c r="T20" s="2">
        <f t="shared" si="12"/>
        <v>0.92079810356211078</v>
      </c>
      <c r="V20" s="3">
        <f t="shared" si="13"/>
        <v>0.86195235965541595</v>
      </c>
      <c r="W20" s="3">
        <f t="shared" si="14"/>
        <v>0.10633474693834295</v>
      </c>
      <c r="X20" s="3">
        <f t="shared" si="15"/>
        <v>3.1712893406241095E-2</v>
      </c>
      <c r="Y20" s="3">
        <f t="shared" si="16"/>
        <v>0</v>
      </c>
    </row>
    <row r="21" spans="1:25" x14ac:dyDescent="0.25">
      <c r="A21" t="s">
        <v>83</v>
      </c>
      <c r="B21">
        <v>6722879</v>
      </c>
      <c r="C21">
        <v>2395286</v>
      </c>
      <c r="D21">
        <v>197484</v>
      </c>
      <c r="E21">
        <v>166718</v>
      </c>
      <c r="F21">
        <v>0</v>
      </c>
      <c r="I21">
        <f t="shared" si="3"/>
        <v>0.3562887268981042</v>
      </c>
      <c r="J21">
        <f t="shared" si="4"/>
        <v>2.9374915121929163E-2</v>
      </c>
      <c r="K21">
        <f t="shared" si="5"/>
        <v>2.4798601908497832E-2</v>
      </c>
      <c r="L21">
        <f t="shared" si="6"/>
        <v>0</v>
      </c>
      <c r="N21" s="1">
        <f t="shared" si="7"/>
        <v>0.34663970285027279</v>
      </c>
      <c r="O21" s="1">
        <f t="shared" si="8"/>
        <v>2.5762883240937916E-2</v>
      </c>
      <c r="P21" s="1">
        <f t="shared" si="9"/>
        <v>2.1543944206544589E-2</v>
      </c>
      <c r="Q21" s="1">
        <f t="shared" si="10"/>
        <v>0</v>
      </c>
      <c r="S21" s="1">
        <f t="shared" si="11"/>
        <v>0.39394653029775528</v>
      </c>
      <c r="T21" s="2">
        <f t="shared" si="12"/>
        <v>1.8230491472667103</v>
      </c>
      <c r="V21" s="3">
        <f t="shared" si="13"/>
        <v>0.87991561339117075</v>
      </c>
      <c r="W21" s="3">
        <f t="shared" si="14"/>
        <v>6.5396903537811704E-2</v>
      </c>
      <c r="X21" s="3">
        <f t="shared" si="15"/>
        <v>5.4687483071017534E-2</v>
      </c>
      <c r="Y21" s="3">
        <f t="shared" si="16"/>
        <v>0</v>
      </c>
    </row>
    <row r="22" spans="1:25" x14ac:dyDescent="0.25">
      <c r="A22" t="s">
        <v>84</v>
      </c>
      <c r="B22">
        <v>6054104</v>
      </c>
      <c r="C22">
        <v>1475285</v>
      </c>
      <c r="D22">
        <v>101708</v>
      </c>
      <c r="E22">
        <v>0</v>
      </c>
      <c r="F22">
        <v>0</v>
      </c>
      <c r="I22">
        <f t="shared" si="3"/>
        <v>0.24368345836146851</v>
      </c>
      <c r="J22">
        <f t="shared" si="4"/>
        <v>1.6799843544147902E-2</v>
      </c>
      <c r="K22">
        <f t="shared" si="5"/>
        <v>0</v>
      </c>
      <c r="L22">
        <f t="shared" si="6"/>
        <v>0</v>
      </c>
      <c r="N22" s="1">
        <f t="shared" si="7"/>
        <v>0.2340344343136371</v>
      </c>
      <c r="O22" s="1">
        <f t="shared" si="8"/>
        <v>1.3187811663156655E-2</v>
      </c>
      <c r="P22" s="1">
        <v>0</v>
      </c>
      <c r="Q22" s="1">
        <f t="shared" si="10"/>
        <v>0</v>
      </c>
      <c r="S22" s="1">
        <f t="shared" si="11"/>
        <v>0.24722224597679376</v>
      </c>
      <c r="T22" s="2">
        <f t="shared" si="12"/>
        <v>1.1440595869005497</v>
      </c>
      <c r="V22" s="3">
        <f t="shared" si="13"/>
        <v>0.94665604783642898</v>
      </c>
      <c r="W22" s="3">
        <f t="shared" si="14"/>
        <v>5.3343952163570942E-2</v>
      </c>
      <c r="X22" s="3">
        <f t="shared" si="15"/>
        <v>0</v>
      </c>
      <c r="Y22" s="3">
        <f t="shared" si="16"/>
        <v>0</v>
      </c>
    </row>
    <row r="23" spans="1:25" x14ac:dyDescent="0.25">
      <c r="A23" t="s">
        <v>85</v>
      </c>
      <c r="B23">
        <v>6228014</v>
      </c>
      <c r="C23">
        <v>1696753</v>
      </c>
      <c r="D23">
        <v>57665</v>
      </c>
      <c r="E23">
        <v>41335</v>
      </c>
      <c r="F23">
        <v>0</v>
      </c>
      <c r="I23">
        <f t="shared" si="3"/>
        <v>0.27243885450482286</v>
      </c>
      <c r="J23">
        <f t="shared" si="4"/>
        <v>9.2589708372524532E-3</v>
      </c>
      <c r="K23">
        <f t="shared" si="5"/>
        <v>6.6369471873377293E-3</v>
      </c>
      <c r="L23">
        <f t="shared" si="6"/>
        <v>0</v>
      </c>
      <c r="N23" s="1">
        <f t="shared" si="7"/>
        <v>0.26278983045699145</v>
      </c>
      <c r="O23" s="1">
        <f t="shared" si="8"/>
        <v>5.6469389562612063E-3</v>
      </c>
      <c r="P23" s="1">
        <f t="shared" si="9"/>
        <v>3.3822894853844858E-3</v>
      </c>
      <c r="Q23" s="1">
        <f t="shared" si="10"/>
        <v>0</v>
      </c>
      <c r="S23" s="1">
        <f t="shared" si="11"/>
        <v>0.27181905889863717</v>
      </c>
      <c r="T23" s="2">
        <f t="shared" si="12"/>
        <v>1.2578851834574054</v>
      </c>
      <c r="V23" s="3">
        <f t="shared" si="13"/>
        <v>0.96678220990746355</v>
      </c>
      <c r="W23" s="3">
        <f t="shared" si="14"/>
        <v>2.0774624778489063E-2</v>
      </c>
      <c r="X23" s="3">
        <f t="shared" si="15"/>
        <v>1.244316531404724E-2</v>
      </c>
      <c r="Y23" s="3">
        <f t="shared" si="16"/>
        <v>0</v>
      </c>
    </row>
    <row r="24" spans="1:25" x14ac:dyDescent="0.25">
      <c r="A24" t="s">
        <v>86</v>
      </c>
      <c r="B24">
        <v>6028478</v>
      </c>
      <c r="C24">
        <v>3030194</v>
      </c>
      <c r="D24">
        <v>28533</v>
      </c>
      <c r="E24">
        <v>32605</v>
      </c>
      <c r="F24">
        <v>0</v>
      </c>
      <c r="I24">
        <f t="shared" si="3"/>
        <v>0.50264660499714853</v>
      </c>
      <c r="J24">
        <f t="shared" si="4"/>
        <v>4.7330354361415933E-3</v>
      </c>
      <c r="K24">
        <f t="shared" si="5"/>
        <v>5.4084961411487277E-3</v>
      </c>
      <c r="L24">
        <f t="shared" si="6"/>
        <v>0</v>
      </c>
      <c r="N24" s="1">
        <f t="shared" si="7"/>
        <v>0.49299758094931712</v>
      </c>
      <c r="O24" s="1">
        <f t="shared" si="8"/>
        <v>1.1210035551503465E-3</v>
      </c>
      <c r="P24" s="1">
        <f t="shared" si="9"/>
        <v>2.1538384391954842E-3</v>
      </c>
      <c r="Q24" s="1">
        <f t="shared" si="10"/>
        <v>0</v>
      </c>
      <c r="S24" s="1">
        <f t="shared" si="11"/>
        <v>0.49627242294366292</v>
      </c>
      <c r="T24" s="2">
        <f t="shared" si="12"/>
        <v>2.2965782101840335</v>
      </c>
      <c r="V24" s="3">
        <f t="shared" si="13"/>
        <v>0.99340112034652073</v>
      </c>
      <c r="W24" s="3">
        <f t="shared" si="14"/>
        <v>2.2588471640254799E-3</v>
      </c>
      <c r="X24" s="3">
        <f t="shared" si="15"/>
        <v>4.34003248945386E-3</v>
      </c>
      <c r="Y24" s="3">
        <f t="shared" si="16"/>
        <v>0</v>
      </c>
    </row>
    <row r="25" spans="1:25" x14ac:dyDescent="0.25">
      <c r="A25" t="s">
        <v>87</v>
      </c>
      <c r="B25">
        <v>6349928</v>
      </c>
      <c r="C25">
        <v>330107</v>
      </c>
      <c r="D25">
        <v>530622</v>
      </c>
      <c r="E25">
        <v>220829</v>
      </c>
      <c r="F25">
        <v>41161</v>
      </c>
      <c r="I25">
        <f t="shared" si="3"/>
        <v>5.1985943777630238E-2</v>
      </c>
      <c r="J25">
        <f t="shared" si="4"/>
        <v>8.3563467176320738E-2</v>
      </c>
      <c r="K25">
        <f t="shared" si="5"/>
        <v>3.4776614789962974E-2</v>
      </c>
      <c r="L25">
        <f t="shared" si="6"/>
        <v>6.4821207421564466E-3</v>
      </c>
      <c r="N25" s="1">
        <f t="shared" si="7"/>
        <v>4.2336919729798826E-2</v>
      </c>
      <c r="O25" s="1">
        <f t="shared" si="8"/>
        <v>7.9951435295329498E-2</v>
      </c>
      <c r="P25" s="1">
        <f t="shared" si="9"/>
        <v>3.1521957088009728E-2</v>
      </c>
      <c r="Q25" s="1">
        <f t="shared" si="10"/>
        <v>6.4821207421564466E-3</v>
      </c>
      <c r="S25" s="1">
        <f t="shared" si="11"/>
        <v>0.16029243285529451</v>
      </c>
      <c r="T25" s="2">
        <f t="shared" si="12"/>
        <v>0.74177828856439654</v>
      </c>
      <c r="V25" s="3">
        <f t="shared" si="13"/>
        <v>0.26412300927529669</v>
      </c>
      <c r="W25" s="3">
        <f t="shared" si="14"/>
        <v>0.49878483887948971</v>
      </c>
      <c r="X25" s="3">
        <f t="shared" si="15"/>
        <v>0.19665280841090277</v>
      </c>
      <c r="Y25" s="3">
        <f t="shared" si="16"/>
        <v>4.0439343434310722E-2</v>
      </c>
    </row>
    <row r="26" spans="1:25" x14ac:dyDescent="0.25">
      <c r="A26" t="s">
        <v>88</v>
      </c>
      <c r="B26">
        <v>6294263</v>
      </c>
      <c r="C26">
        <v>3544399</v>
      </c>
      <c r="D26">
        <v>19468</v>
      </c>
      <c r="E26">
        <v>27345</v>
      </c>
      <c r="F26">
        <v>0</v>
      </c>
      <c r="I26">
        <f t="shared" si="3"/>
        <v>0.56311580879286427</v>
      </c>
      <c r="J26">
        <f t="shared" si="4"/>
        <v>3.0929753014769163E-3</v>
      </c>
      <c r="K26">
        <f t="shared" si="5"/>
        <v>4.3444323823138625E-3</v>
      </c>
      <c r="L26">
        <f t="shared" si="6"/>
        <v>0</v>
      </c>
      <c r="N26" s="1">
        <f t="shared" si="7"/>
        <v>0.55346678474503286</v>
      </c>
      <c r="O26" s="1">
        <v>0</v>
      </c>
      <c r="P26" s="1">
        <f t="shared" si="9"/>
        <v>1.0897746803606189E-3</v>
      </c>
      <c r="Q26" s="1">
        <f t="shared" si="10"/>
        <v>0</v>
      </c>
      <c r="S26" s="1">
        <f t="shared" si="11"/>
        <v>0.5545565594253935</v>
      </c>
      <c r="T26" s="2">
        <f t="shared" si="12"/>
        <v>2.5662971622252795</v>
      </c>
      <c r="V26" s="3">
        <f t="shared" si="13"/>
        <v>0.99803487189568219</v>
      </c>
      <c r="W26" s="3">
        <f t="shared" si="14"/>
        <v>0</v>
      </c>
      <c r="X26" s="3">
        <f t="shared" si="15"/>
        <v>1.9651281043177892E-3</v>
      </c>
      <c r="Y26" s="3">
        <f t="shared" si="16"/>
        <v>0</v>
      </c>
    </row>
    <row r="27" spans="1:25" x14ac:dyDescent="0.25">
      <c r="A27" t="s">
        <v>89</v>
      </c>
      <c r="B27">
        <v>6240905</v>
      </c>
      <c r="C27">
        <v>3092492</v>
      </c>
      <c r="D27">
        <v>55463</v>
      </c>
      <c r="E27">
        <v>58174</v>
      </c>
      <c r="F27">
        <v>0</v>
      </c>
      <c r="I27">
        <f t="shared" si="3"/>
        <v>0.49551980041356181</v>
      </c>
      <c r="J27">
        <f t="shared" si="4"/>
        <v>8.8870123804159814E-3</v>
      </c>
      <c r="K27">
        <f t="shared" si="5"/>
        <v>9.3214045078398085E-3</v>
      </c>
      <c r="L27">
        <f t="shared" si="6"/>
        <v>0</v>
      </c>
      <c r="N27" s="1">
        <f t="shared" si="7"/>
        <v>0.48587077636573039</v>
      </c>
      <c r="O27" s="1">
        <f t="shared" si="8"/>
        <v>5.2749804994247345E-3</v>
      </c>
      <c r="P27" s="1">
        <f t="shared" si="9"/>
        <v>6.0667468058865654E-3</v>
      </c>
      <c r="Q27" s="1">
        <f t="shared" si="10"/>
        <v>0</v>
      </c>
      <c r="S27" s="1">
        <f t="shared" si="11"/>
        <v>0.49721250367104169</v>
      </c>
      <c r="T27" s="2">
        <f t="shared" si="12"/>
        <v>2.300928580695266</v>
      </c>
      <c r="V27" s="3">
        <f t="shared" si="13"/>
        <v>0.97718937632989411</v>
      </c>
      <c r="W27" s="3">
        <f t="shared" si="14"/>
        <v>1.0609106690757496E-2</v>
      </c>
      <c r="X27" s="3">
        <f t="shared" si="15"/>
        <v>1.2201516979348443E-2</v>
      </c>
      <c r="Y27" s="3">
        <f t="shared" si="16"/>
        <v>0</v>
      </c>
    </row>
    <row r="28" spans="1:25" x14ac:dyDescent="0.25">
      <c r="A28" t="s">
        <v>90</v>
      </c>
      <c r="B28">
        <v>6084989</v>
      </c>
      <c r="C28">
        <v>525896</v>
      </c>
      <c r="D28">
        <v>877360</v>
      </c>
      <c r="E28">
        <v>327599</v>
      </c>
      <c r="F28">
        <v>77095</v>
      </c>
      <c r="I28">
        <f t="shared" si="3"/>
        <v>8.6425135690467142E-2</v>
      </c>
      <c r="J28">
        <f t="shared" si="4"/>
        <v>0.144184319807316</v>
      </c>
      <c r="K28">
        <f t="shared" si="5"/>
        <v>5.3837237832311612E-2</v>
      </c>
      <c r="L28">
        <f t="shared" si="6"/>
        <v>1.266970244317615E-2</v>
      </c>
      <c r="N28" s="1">
        <f t="shared" si="7"/>
        <v>7.677611164263573E-2</v>
      </c>
      <c r="O28" s="1">
        <f t="shared" si="8"/>
        <v>0.14057228792632476</v>
      </c>
      <c r="P28" s="1">
        <f t="shared" si="9"/>
        <v>5.0582580130358365E-2</v>
      </c>
      <c r="Q28" s="1">
        <f t="shared" si="10"/>
        <v>1.266970244317615E-2</v>
      </c>
      <c r="S28" s="1">
        <f t="shared" si="11"/>
        <v>0.28060068214249501</v>
      </c>
      <c r="T28" s="2">
        <f t="shared" si="12"/>
        <v>1.298523517685739</v>
      </c>
      <c r="V28" s="3">
        <f t="shared" si="13"/>
        <v>0.27361341767389996</v>
      </c>
      <c r="W28" s="3">
        <f t="shared" si="14"/>
        <v>0.50096915963639443</v>
      </c>
      <c r="X28" s="3">
        <f t="shared" si="15"/>
        <v>0.18026534983500664</v>
      </c>
      <c r="Y28" s="3">
        <f t="shared" si="16"/>
        <v>4.5152072854698924E-2</v>
      </c>
    </row>
    <row r="29" spans="1:25" x14ac:dyDescent="0.25">
      <c r="A29" t="s">
        <v>91</v>
      </c>
      <c r="B29">
        <v>6102741</v>
      </c>
      <c r="C29">
        <v>2848621</v>
      </c>
      <c r="D29">
        <v>788417</v>
      </c>
      <c r="E29">
        <v>133715</v>
      </c>
      <c r="F29">
        <v>0</v>
      </c>
      <c r="I29">
        <f t="shared" si="3"/>
        <v>0.4667773054763425</v>
      </c>
      <c r="J29">
        <f t="shared" si="4"/>
        <v>0.12919063745290846</v>
      </c>
      <c r="K29">
        <f t="shared" si="5"/>
        <v>2.191064638004464E-2</v>
      </c>
      <c r="L29">
        <f t="shared" si="6"/>
        <v>0</v>
      </c>
      <c r="N29" s="1">
        <f t="shared" si="7"/>
        <v>0.45712828142851109</v>
      </c>
      <c r="O29" s="1">
        <f t="shared" si="8"/>
        <v>0.12557860557191722</v>
      </c>
      <c r="P29" s="1">
        <f t="shared" si="9"/>
        <v>1.8655988678091397E-2</v>
      </c>
      <c r="Q29" s="1">
        <f t="shared" si="10"/>
        <v>0</v>
      </c>
      <c r="S29" s="1">
        <f t="shared" si="11"/>
        <v>0.60136287567851965</v>
      </c>
      <c r="T29" s="2">
        <f t="shared" si="12"/>
        <v>2.7829007070450871</v>
      </c>
      <c r="V29" s="3">
        <f t="shared" si="13"/>
        <v>0.76015381048045538</v>
      </c>
      <c r="W29" s="3">
        <f t="shared" si="14"/>
        <v>0.20882334219621801</v>
      </c>
      <c r="X29" s="3">
        <f t="shared" si="15"/>
        <v>3.1022847323326677E-2</v>
      </c>
      <c r="Y29" s="3">
        <f t="shared" si="16"/>
        <v>0</v>
      </c>
    </row>
    <row r="30" spans="1:25" x14ac:dyDescent="0.25">
      <c r="A30" t="s">
        <v>92</v>
      </c>
      <c r="B30">
        <v>5918863</v>
      </c>
      <c r="C30">
        <v>1932075</v>
      </c>
      <c r="D30">
        <v>49529</v>
      </c>
      <c r="E30">
        <v>42780</v>
      </c>
      <c r="F30">
        <v>0</v>
      </c>
      <c r="I30">
        <f t="shared" si="3"/>
        <v>0.32642671404964096</v>
      </c>
      <c r="J30">
        <f t="shared" si="4"/>
        <v>8.3679922985208481E-3</v>
      </c>
      <c r="K30">
        <f t="shared" si="5"/>
        <v>7.2277395168632895E-3</v>
      </c>
      <c r="L30">
        <f t="shared" si="6"/>
        <v>0</v>
      </c>
      <c r="N30" s="1">
        <f t="shared" si="7"/>
        <v>0.31677769000180955</v>
      </c>
      <c r="O30" s="1">
        <f t="shared" si="8"/>
        <v>4.7559604175296012E-3</v>
      </c>
      <c r="P30" s="1">
        <f t="shared" si="9"/>
        <v>3.9730818149100455E-3</v>
      </c>
      <c r="Q30" s="1">
        <f t="shared" si="10"/>
        <v>0</v>
      </c>
      <c r="S30" s="1">
        <f t="shared" si="11"/>
        <v>0.3255067322342492</v>
      </c>
      <c r="T30" s="2">
        <f t="shared" si="12"/>
        <v>1.5063332838106296</v>
      </c>
      <c r="V30" s="3">
        <f t="shared" si="13"/>
        <v>0.97318322059723839</v>
      </c>
      <c r="W30" s="3">
        <f t="shared" si="14"/>
        <v>1.4610943327915564E-2</v>
      </c>
      <c r="X30" s="3">
        <f t="shared" si="15"/>
        <v>1.2205836074846028E-2</v>
      </c>
      <c r="Y30" s="3">
        <f t="shared" si="16"/>
        <v>0</v>
      </c>
    </row>
    <row r="31" spans="1:25" x14ac:dyDescent="0.25">
      <c r="A31" t="s">
        <v>93</v>
      </c>
      <c r="B31">
        <v>6284490</v>
      </c>
      <c r="C31">
        <v>3729495</v>
      </c>
      <c r="D31">
        <v>36667</v>
      </c>
      <c r="E31">
        <v>77021</v>
      </c>
      <c r="F31">
        <v>0</v>
      </c>
      <c r="I31">
        <f t="shared" si="3"/>
        <v>0.59344433677195763</v>
      </c>
      <c r="J31">
        <f t="shared" si="4"/>
        <v>5.8345227695485238E-3</v>
      </c>
      <c r="K31">
        <f t="shared" si="5"/>
        <v>1.2255727990656362E-2</v>
      </c>
      <c r="L31">
        <f t="shared" si="6"/>
        <v>0</v>
      </c>
      <c r="N31" s="1">
        <f t="shared" si="7"/>
        <v>0.58379531272412621</v>
      </c>
      <c r="O31" s="1">
        <f t="shared" si="8"/>
        <v>2.2224908885572769E-3</v>
      </c>
      <c r="P31" s="1">
        <f t="shared" si="9"/>
        <v>9.0010702887031186E-3</v>
      </c>
      <c r="Q31" s="1">
        <f t="shared" si="10"/>
        <v>0</v>
      </c>
      <c r="S31" s="1">
        <f t="shared" si="11"/>
        <v>0.59501887390138664</v>
      </c>
      <c r="T31" s="2">
        <f t="shared" si="12"/>
        <v>2.7535428471819241</v>
      </c>
      <c r="V31" s="3">
        <f t="shared" si="13"/>
        <v>0.98113747030632759</v>
      </c>
      <c r="W31" s="3">
        <f t="shared" si="14"/>
        <v>3.7351603218650398E-3</v>
      </c>
      <c r="X31" s="3">
        <f t="shared" si="15"/>
        <v>1.5127369371807321E-2</v>
      </c>
      <c r="Y31" s="3">
        <f t="shared" si="16"/>
        <v>0</v>
      </c>
    </row>
    <row r="32" spans="1:25" x14ac:dyDescent="0.25">
      <c r="A32" t="s">
        <v>94</v>
      </c>
      <c r="B32">
        <v>6088232</v>
      </c>
      <c r="C32">
        <v>659978</v>
      </c>
      <c r="D32">
        <v>1006906</v>
      </c>
      <c r="E32">
        <v>335639</v>
      </c>
      <c r="F32">
        <v>211368</v>
      </c>
      <c r="I32">
        <f t="shared" si="3"/>
        <v>0.10840224222730015</v>
      </c>
      <c r="J32">
        <f t="shared" si="4"/>
        <v>0.16538561605405314</v>
      </c>
      <c r="K32">
        <f t="shared" si="5"/>
        <v>5.5129140939438576E-2</v>
      </c>
      <c r="L32">
        <f t="shared" si="6"/>
        <v>3.4717468059692863E-2</v>
      </c>
      <c r="N32" s="1">
        <f t="shared" si="7"/>
        <v>9.8753218179468735E-2</v>
      </c>
      <c r="O32" s="1">
        <f t="shared" si="8"/>
        <v>0.1617735841730619</v>
      </c>
      <c r="P32" s="1">
        <f t="shared" si="9"/>
        <v>5.1874483237485329E-2</v>
      </c>
      <c r="Q32" s="1">
        <f t="shared" si="10"/>
        <v>3.4717468059692863E-2</v>
      </c>
      <c r="S32" s="1">
        <f t="shared" si="11"/>
        <v>0.34711875364970879</v>
      </c>
      <c r="T32" s="2">
        <f t="shared" si="12"/>
        <v>1.6063462911149053</v>
      </c>
      <c r="V32" s="3">
        <f t="shared" si="13"/>
        <v>0.2844940445917955</v>
      </c>
      <c r="W32" s="3">
        <f t="shared" si="14"/>
        <v>0.46604679946596606</v>
      </c>
      <c r="X32" s="3">
        <f t="shared" si="15"/>
        <v>0.14944304418030355</v>
      </c>
      <c r="Y32" s="3">
        <f t="shared" si="16"/>
        <v>0.10001611176193502</v>
      </c>
    </row>
    <row r="33" spans="1:25" x14ac:dyDescent="0.25">
      <c r="A33" t="s">
        <v>95</v>
      </c>
      <c r="B33">
        <v>6168543</v>
      </c>
      <c r="C33">
        <v>811661</v>
      </c>
      <c r="D33">
        <v>25978</v>
      </c>
      <c r="E33">
        <v>20418</v>
      </c>
      <c r="F33">
        <v>0</v>
      </c>
      <c r="I33">
        <f t="shared" si="3"/>
        <v>0.13158066661770859</v>
      </c>
      <c r="J33">
        <f t="shared" si="4"/>
        <v>4.2113672547958248E-3</v>
      </c>
      <c r="K33">
        <f t="shared" si="5"/>
        <v>3.3100198863815979E-3</v>
      </c>
      <c r="L33">
        <f t="shared" si="6"/>
        <v>0</v>
      </c>
      <c r="N33" s="1">
        <f t="shared" si="7"/>
        <v>0.12193164256987718</v>
      </c>
      <c r="O33" s="1">
        <f t="shared" si="8"/>
        <v>5.9933537380457789E-4</v>
      </c>
      <c r="P33" s="1">
        <f t="shared" si="9"/>
        <v>5.5362184428354305E-5</v>
      </c>
      <c r="Q33" s="1">
        <f t="shared" si="10"/>
        <v>0</v>
      </c>
      <c r="S33" s="1">
        <f t="shared" si="11"/>
        <v>0.12258634012811011</v>
      </c>
      <c r="T33" s="2">
        <f t="shared" si="12"/>
        <v>0.56728745057910579</v>
      </c>
      <c r="V33" s="3">
        <f t="shared" si="13"/>
        <v>0.99465929435899036</v>
      </c>
      <c r="W33" s="3">
        <f t="shared" si="14"/>
        <v>4.8890877497299971E-3</v>
      </c>
      <c r="X33" s="3">
        <f t="shared" si="15"/>
        <v>4.5161789127970935E-4</v>
      </c>
      <c r="Y33" s="3">
        <f t="shared" si="16"/>
        <v>0</v>
      </c>
    </row>
    <row r="34" spans="1:25" x14ac:dyDescent="0.25">
      <c r="A34" t="s">
        <v>96</v>
      </c>
      <c r="B34">
        <v>6801957</v>
      </c>
      <c r="C34">
        <v>234854</v>
      </c>
      <c r="D34">
        <v>24562</v>
      </c>
      <c r="E34">
        <v>116248</v>
      </c>
      <c r="F34">
        <v>0</v>
      </c>
      <c r="I34">
        <f t="shared" si="3"/>
        <v>3.4527416153909821E-2</v>
      </c>
      <c r="J34">
        <f t="shared" si="4"/>
        <v>3.6110195933317427E-3</v>
      </c>
      <c r="K34">
        <f t="shared" si="5"/>
        <v>1.7090375608078676E-2</v>
      </c>
      <c r="L34">
        <f t="shared" si="6"/>
        <v>0</v>
      </c>
      <c r="N34" s="1">
        <f t="shared" si="7"/>
        <v>2.4878392106078409E-2</v>
      </c>
      <c r="O34" s="1">
        <f t="shared" si="8"/>
        <v>-1.0122876595041776E-6</v>
      </c>
      <c r="P34" s="1">
        <f t="shared" si="9"/>
        <v>1.3835717906125432E-2</v>
      </c>
      <c r="Q34" s="1">
        <f t="shared" si="10"/>
        <v>0</v>
      </c>
      <c r="S34" s="1">
        <f t="shared" si="11"/>
        <v>3.8713097724544336E-2</v>
      </c>
      <c r="T34" s="2">
        <f t="shared" si="12"/>
        <v>0.17915091101688405</v>
      </c>
      <c r="V34" s="3">
        <f t="shared" si="13"/>
        <v>0.64263501420361302</v>
      </c>
      <c r="W34" s="3">
        <f t="shared" si="14"/>
        <v>-2.6148454115114149E-5</v>
      </c>
      <c r="X34" s="3">
        <f t="shared" si="15"/>
        <v>0.35739113425050212</v>
      </c>
      <c r="Y34" s="3">
        <f t="shared" si="16"/>
        <v>0</v>
      </c>
    </row>
    <row r="35" spans="1:25" x14ac:dyDescent="0.25">
      <c r="A35" t="s">
        <v>97</v>
      </c>
      <c r="B35">
        <v>6492096</v>
      </c>
      <c r="C35">
        <v>2272475</v>
      </c>
      <c r="D35">
        <v>53296</v>
      </c>
      <c r="E35">
        <v>0</v>
      </c>
      <c r="F35">
        <v>0</v>
      </c>
      <c r="I35">
        <f t="shared" si="3"/>
        <v>0.35003718367688957</v>
      </c>
      <c r="J35">
        <f t="shared" si="4"/>
        <v>8.2093672059069984E-3</v>
      </c>
      <c r="K35">
        <f t="shared" si="5"/>
        <v>0</v>
      </c>
      <c r="L35">
        <f t="shared" si="6"/>
        <v>0</v>
      </c>
      <c r="N35" s="1">
        <f t="shared" si="7"/>
        <v>0.34038815962905816</v>
      </c>
      <c r="O35" s="1">
        <f t="shared" si="8"/>
        <v>4.5973353249157516E-3</v>
      </c>
      <c r="P35" s="1">
        <v>0</v>
      </c>
      <c r="Q35" s="1">
        <f t="shared" si="10"/>
        <v>0</v>
      </c>
      <c r="S35" s="1">
        <f t="shared" si="11"/>
        <v>0.3449854949539739</v>
      </c>
      <c r="T35" s="2">
        <f t="shared" si="12"/>
        <v>1.5964743030478463</v>
      </c>
      <c r="V35" s="3">
        <f t="shared" si="13"/>
        <v>0.98667383008224996</v>
      </c>
      <c r="W35" s="3">
        <f t="shared" si="14"/>
        <v>1.3326169917750029E-2</v>
      </c>
      <c r="X35" s="3">
        <f t="shared" si="15"/>
        <v>0</v>
      </c>
      <c r="Y35" s="3">
        <f t="shared" si="16"/>
        <v>0</v>
      </c>
    </row>
    <row r="36" spans="1:25" x14ac:dyDescent="0.25">
      <c r="A36" t="s">
        <v>98</v>
      </c>
      <c r="B36">
        <v>6688850</v>
      </c>
      <c r="C36">
        <v>1090587</v>
      </c>
      <c r="D36">
        <v>0</v>
      </c>
      <c r="E36">
        <v>0</v>
      </c>
      <c r="F36">
        <v>0</v>
      </c>
      <c r="I36">
        <f t="shared" si="3"/>
        <v>0.16304551604535908</v>
      </c>
      <c r="J36">
        <f t="shared" si="4"/>
        <v>0</v>
      </c>
      <c r="K36">
        <f t="shared" si="5"/>
        <v>0</v>
      </c>
      <c r="L36">
        <f t="shared" si="6"/>
        <v>0</v>
      </c>
      <c r="N36" s="1">
        <f t="shared" si="7"/>
        <v>0.15339649199752767</v>
      </c>
      <c r="O36" s="1">
        <v>0</v>
      </c>
      <c r="P36" s="1">
        <v>0</v>
      </c>
      <c r="Q36" s="1">
        <f t="shared" si="10"/>
        <v>0</v>
      </c>
      <c r="S36" s="1">
        <f t="shared" si="11"/>
        <v>0.15339649199752767</v>
      </c>
      <c r="T36" s="2">
        <f t="shared" si="12"/>
        <v>0.70986624433125767</v>
      </c>
      <c r="V36" s="3">
        <f t="shared" si="13"/>
        <v>1</v>
      </c>
      <c r="W36" s="3">
        <f t="shared" si="14"/>
        <v>0</v>
      </c>
      <c r="X36" s="3">
        <f t="shared" si="15"/>
        <v>0</v>
      </c>
      <c r="Y36" s="3">
        <f t="shared" si="16"/>
        <v>0</v>
      </c>
    </row>
    <row r="37" spans="1:25" x14ac:dyDescent="0.25">
      <c r="A37" t="s">
        <v>99</v>
      </c>
      <c r="B37">
        <v>6538871</v>
      </c>
      <c r="C37">
        <v>2045209</v>
      </c>
      <c r="D37">
        <v>27478</v>
      </c>
      <c r="E37">
        <v>49226</v>
      </c>
      <c r="F37">
        <v>0</v>
      </c>
      <c r="I37">
        <f t="shared" si="3"/>
        <v>0.31277708338335469</v>
      </c>
      <c r="J37">
        <f t="shared" si="4"/>
        <v>4.2022544870513583E-3</v>
      </c>
      <c r="K37">
        <f t="shared" si="5"/>
        <v>7.5282109098038482E-3</v>
      </c>
      <c r="L37">
        <f t="shared" si="6"/>
        <v>0</v>
      </c>
      <c r="N37" s="1">
        <f t="shared" si="7"/>
        <v>0.30312805933552328</v>
      </c>
      <c r="O37" s="1">
        <f t="shared" si="8"/>
        <v>5.9022260606011144E-4</v>
      </c>
      <c r="P37" s="1">
        <f t="shared" si="9"/>
        <v>4.2735532078506042E-3</v>
      </c>
      <c r="Q37" s="1">
        <f t="shared" si="10"/>
        <v>0</v>
      </c>
      <c r="S37" s="1">
        <f t="shared" si="11"/>
        <v>0.30799183514943401</v>
      </c>
      <c r="T37" s="2">
        <f t="shared" si="12"/>
        <v>1.4252803597734447</v>
      </c>
      <c r="V37" s="3">
        <f t="shared" si="13"/>
        <v>0.98420810145323856</v>
      </c>
      <c r="W37" s="3">
        <f t="shared" si="14"/>
        <v>1.9163579637549236E-3</v>
      </c>
      <c r="X37" s="3">
        <f t="shared" si="15"/>
        <v>1.3875540583006451E-2</v>
      </c>
      <c r="Y37" s="3">
        <f t="shared" si="16"/>
        <v>0</v>
      </c>
    </row>
    <row r="38" spans="1:25" x14ac:dyDescent="0.25">
      <c r="A38" t="s">
        <v>100</v>
      </c>
      <c r="B38">
        <v>6671693</v>
      </c>
      <c r="C38">
        <v>855943</v>
      </c>
      <c r="D38">
        <v>852201</v>
      </c>
      <c r="E38">
        <v>300569</v>
      </c>
      <c r="F38">
        <v>137051</v>
      </c>
      <c r="I38">
        <f t="shared" si="3"/>
        <v>0.12829472219420168</v>
      </c>
      <c r="J38">
        <f t="shared" si="4"/>
        <v>0.12773384506751134</v>
      </c>
      <c r="K38">
        <f t="shared" si="5"/>
        <v>4.5051383509403083E-2</v>
      </c>
      <c r="L38">
        <f t="shared" si="6"/>
        <v>2.054216223678158E-2</v>
      </c>
      <c r="N38" s="1">
        <f t="shared" si="7"/>
        <v>0.11864569814637027</v>
      </c>
      <c r="O38" s="1">
        <f t="shared" si="8"/>
        <v>0.1241218131865201</v>
      </c>
      <c r="P38" s="1">
        <f t="shared" si="9"/>
        <v>4.1796725807449836E-2</v>
      </c>
      <c r="Q38" s="1">
        <f t="shared" si="10"/>
        <v>2.054216223678158E-2</v>
      </c>
      <c r="S38" s="1">
        <f t="shared" si="11"/>
        <v>0.30510639937712175</v>
      </c>
      <c r="T38" s="2">
        <f t="shared" si="12"/>
        <v>1.4119275547107097</v>
      </c>
      <c r="V38" s="3">
        <f t="shared" si="13"/>
        <v>0.38886663271759242</v>
      </c>
      <c r="W38" s="3">
        <f t="shared" si="14"/>
        <v>0.40681484701702825</v>
      </c>
      <c r="X38" s="3">
        <f t="shared" si="15"/>
        <v>0.13699065602287705</v>
      </c>
      <c r="Y38" s="3">
        <f t="shared" si="16"/>
        <v>6.7327864242502422E-2</v>
      </c>
    </row>
    <row r="39" spans="1:25" x14ac:dyDescent="0.25">
      <c r="A39" t="s">
        <v>101</v>
      </c>
      <c r="B39">
        <v>6799118</v>
      </c>
      <c r="C39">
        <v>1191666</v>
      </c>
      <c r="D39">
        <v>756959</v>
      </c>
      <c r="E39">
        <v>133405</v>
      </c>
      <c r="F39">
        <v>0</v>
      </c>
      <c r="I39">
        <f t="shared" si="3"/>
        <v>0.17526773325598996</v>
      </c>
      <c r="J39">
        <f t="shared" si="4"/>
        <v>0.11133194040756463</v>
      </c>
      <c r="K39">
        <f t="shared" si="5"/>
        <v>1.9620927302629546E-2</v>
      </c>
      <c r="L39">
        <f t="shared" si="6"/>
        <v>0</v>
      </c>
      <c r="N39" s="1">
        <f t="shared" si="7"/>
        <v>0.16561870920815855</v>
      </c>
      <c r="O39" s="1">
        <f t="shared" si="8"/>
        <v>0.10771990852657337</v>
      </c>
      <c r="P39" s="1">
        <f t="shared" si="9"/>
        <v>1.6366269600676303E-2</v>
      </c>
      <c r="Q39" s="1">
        <f t="shared" si="10"/>
        <v>0</v>
      </c>
      <c r="S39" s="1">
        <f t="shared" si="11"/>
        <v>0.28970488733540822</v>
      </c>
      <c r="T39" s="2">
        <f t="shared" si="12"/>
        <v>1.3406546503065464</v>
      </c>
      <c r="V39" s="3">
        <f t="shared" si="13"/>
        <v>0.57168075668814011</v>
      </c>
      <c r="W39" s="3">
        <f t="shared" si="14"/>
        <v>0.37182634203150244</v>
      </c>
      <c r="X39" s="3">
        <f t="shared" si="15"/>
        <v>5.6492901280357478E-2</v>
      </c>
      <c r="Y39" s="3">
        <f t="shared" si="16"/>
        <v>0</v>
      </c>
    </row>
    <row r="40" spans="1:25" x14ac:dyDescent="0.25">
      <c r="A40" t="s">
        <v>102</v>
      </c>
      <c r="B40">
        <v>6277364</v>
      </c>
      <c r="C40">
        <v>1380337</v>
      </c>
      <c r="D40">
        <v>17736</v>
      </c>
      <c r="E40">
        <v>25720</v>
      </c>
      <c r="F40">
        <v>0</v>
      </c>
      <c r="I40">
        <f t="shared" si="3"/>
        <v>0.21989118362420915</v>
      </c>
      <c r="J40">
        <f t="shared" si="4"/>
        <v>2.8253897655130403E-3</v>
      </c>
      <c r="K40">
        <f t="shared" si="5"/>
        <v>4.0972612070926586E-3</v>
      </c>
      <c r="L40">
        <f t="shared" si="6"/>
        <v>0</v>
      </c>
      <c r="N40" s="1">
        <f t="shared" si="7"/>
        <v>0.21024215957637774</v>
      </c>
      <c r="O40" s="1">
        <v>0</v>
      </c>
      <c r="P40" s="1">
        <f t="shared" si="9"/>
        <v>8.4260350513941503E-4</v>
      </c>
      <c r="Q40" s="1">
        <f t="shared" si="10"/>
        <v>0</v>
      </c>
      <c r="S40" s="1">
        <f t="shared" si="11"/>
        <v>0.21108476308151716</v>
      </c>
      <c r="T40" s="2">
        <f t="shared" si="12"/>
        <v>0.97682773610393225</v>
      </c>
      <c r="V40" s="3">
        <f t="shared" si="13"/>
        <v>0.99600822203915296</v>
      </c>
      <c r="W40" s="3">
        <f t="shared" si="14"/>
        <v>0</v>
      </c>
      <c r="X40" s="3">
        <f t="shared" si="15"/>
        <v>3.9917779608470202E-3</v>
      </c>
      <c r="Y40" s="3">
        <f t="shared" si="16"/>
        <v>0</v>
      </c>
    </row>
    <row r="41" spans="1:25" x14ac:dyDescent="0.25">
      <c r="A41" t="s">
        <v>103</v>
      </c>
      <c r="B41">
        <v>6824542</v>
      </c>
      <c r="C41">
        <v>1255527</v>
      </c>
      <c r="D41">
        <v>17119</v>
      </c>
      <c r="E41">
        <v>57389</v>
      </c>
      <c r="F41">
        <v>0</v>
      </c>
      <c r="I41">
        <f t="shared" si="3"/>
        <v>0.18397234569001114</v>
      </c>
      <c r="J41">
        <f t="shared" si="4"/>
        <v>2.5084467206737096E-3</v>
      </c>
      <c r="K41">
        <f t="shared" si="5"/>
        <v>8.4092089989335553E-3</v>
      </c>
      <c r="L41">
        <f t="shared" si="6"/>
        <v>0</v>
      </c>
      <c r="N41" s="1">
        <f t="shared" si="7"/>
        <v>0.17432332164217973</v>
      </c>
      <c r="O41" s="1">
        <v>0</v>
      </c>
      <c r="P41" s="1">
        <f t="shared" si="9"/>
        <v>5.1545512969803121E-3</v>
      </c>
      <c r="Q41" s="1">
        <f t="shared" si="10"/>
        <v>0</v>
      </c>
      <c r="S41" s="1">
        <f t="shared" si="11"/>
        <v>0.17947787293916004</v>
      </c>
      <c r="T41" s="2">
        <f t="shared" si="12"/>
        <v>0.83056191145451774</v>
      </c>
      <c r="V41" s="3">
        <f t="shared" si="13"/>
        <v>0.97128029649243941</v>
      </c>
      <c r="W41" s="3">
        <f t="shared" si="14"/>
        <v>0</v>
      </c>
      <c r="X41" s="3">
        <f t="shared" si="15"/>
        <v>2.8719703507560611E-2</v>
      </c>
      <c r="Y41" s="3">
        <f t="shared" si="16"/>
        <v>0</v>
      </c>
    </row>
    <row r="42" spans="1:25" x14ac:dyDescent="0.25">
      <c r="A42" t="s">
        <v>104</v>
      </c>
      <c r="B42">
        <v>6631005</v>
      </c>
      <c r="C42">
        <v>624139</v>
      </c>
      <c r="D42">
        <v>16185</v>
      </c>
      <c r="E42">
        <v>16137</v>
      </c>
      <c r="F42">
        <v>0</v>
      </c>
      <c r="I42">
        <f t="shared" si="3"/>
        <v>9.4124344650622346E-2</v>
      </c>
      <c r="J42">
        <f t="shared" si="4"/>
        <v>2.4408064840849915E-3</v>
      </c>
      <c r="K42">
        <f t="shared" si="5"/>
        <v>2.4335677623527657E-3</v>
      </c>
      <c r="L42">
        <f t="shared" si="6"/>
        <v>0</v>
      </c>
      <c r="N42" s="1">
        <f t="shared" si="7"/>
        <v>8.4475320602790935E-2</v>
      </c>
      <c r="O42" s="1">
        <v>0</v>
      </c>
      <c r="P42" s="1">
        <v>0</v>
      </c>
      <c r="Q42" s="1">
        <f t="shared" si="10"/>
        <v>0</v>
      </c>
      <c r="S42" s="1">
        <f t="shared" si="11"/>
        <v>8.4475320602790935E-2</v>
      </c>
      <c r="T42" s="2">
        <f t="shared" si="12"/>
        <v>0.39092275054079206</v>
      </c>
      <c r="V42" s="3">
        <f t="shared" si="13"/>
        <v>1</v>
      </c>
      <c r="W42" s="3">
        <f t="shared" si="14"/>
        <v>0</v>
      </c>
      <c r="X42" s="3">
        <f t="shared" si="15"/>
        <v>0</v>
      </c>
      <c r="Y42" s="3">
        <f t="shared" si="16"/>
        <v>0</v>
      </c>
    </row>
    <row r="43" spans="1:25" x14ac:dyDescent="0.25">
      <c r="A43" t="s">
        <v>105</v>
      </c>
      <c r="B43">
        <v>6065489</v>
      </c>
      <c r="C43">
        <v>221717</v>
      </c>
      <c r="D43">
        <v>31860</v>
      </c>
      <c r="E43">
        <v>0</v>
      </c>
      <c r="F43">
        <v>0</v>
      </c>
      <c r="I43">
        <f t="shared" si="3"/>
        <v>3.6553854108052952E-2</v>
      </c>
      <c r="J43">
        <f t="shared" si="4"/>
        <v>5.2526680041790532E-3</v>
      </c>
      <c r="K43">
        <f t="shared" si="5"/>
        <v>0</v>
      </c>
      <c r="L43">
        <f t="shared" si="6"/>
        <v>0</v>
      </c>
      <c r="N43" s="1">
        <f t="shared" si="7"/>
        <v>2.6904830060221541E-2</v>
      </c>
      <c r="O43" s="1">
        <f t="shared" si="8"/>
        <v>1.6406361231878063E-3</v>
      </c>
      <c r="P43" s="1">
        <v>0</v>
      </c>
      <c r="Q43" s="1">
        <f t="shared" si="10"/>
        <v>0</v>
      </c>
      <c r="S43" s="1">
        <f t="shared" si="11"/>
        <v>2.8545466183409349E-2</v>
      </c>
      <c r="T43" s="2">
        <f t="shared" si="12"/>
        <v>0.13209860674407278</v>
      </c>
      <c r="V43" s="3">
        <f t="shared" si="13"/>
        <v>0.94252550956265879</v>
      </c>
      <c r="W43" s="3">
        <f t="shared" si="14"/>
        <v>5.7474490437341166E-2</v>
      </c>
      <c r="X43" s="3">
        <f t="shared" si="15"/>
        <v>0</v>
      </c>
      <c r="Y43" s="3">
        <f t="shared" si="16"/>
        <v>0</v>
      </c>
    </row>
    <row r="44" spans="1:25" x14ac:dyDescent="0.25">
      <c r="A44" t="s">
        <v>106</v>
      </c>
      <c r="B44">
        <v>6308333</v>
      </c>
      <c r="C44">
        <v>1808826</v>
      </c>
      <c r="D44">
        <v>0</v>
      </c>
      <c r="E44">
        <v>0</v>
      </c>
      <c r="F44">
        <v>0</v>
      </c>
      <c r="I44">
        <f t="shared" si="3"/>
        <v>0.28673597287904745</v>
      </c>
      <c r="J44">
        <f t="shared" si="4"/>
        <v>0</v>
      </c>
      <c r="K44">
        <f t="shared" si="5"/>
        <v>0</v>
      </c>
      <c r="L44">
        <f t="shared" si="6"/>
        <v>0</v>
      </c>
      <c r="N44" s="1">
        <f t="shared" si="7"/>
        <v>0.27708694883121604</v>
      </c>
      <c r="O44" s="1">
        <v>0</v>
      </c>
      <c r="P44" s="1">
        <v>0</v>
      </c>
      <c r="Q44" s="1">
        <f t="shared" si="10"/>
        <v>0</v>
      </c>
      <c r="S44" s="1">
        <f t="shared" si="11"/>
        <v>0.27708694883121604</v>
      </c>
      <c r="T44" s="2">
        <f t="shared" si="12"/>
        <v>1.2822631675513994</v>
      </c>
      <c r="V44" s="3">
        <f t="shared" si="13"/>
        <v>1</v>
      </c>
      <c r="W44" s="3">
        <f t="shared" si="14"/>
        <v>0</v>
      </c>
      <c r="X44" s="3">
        <f t="shared" si="15"/>
        <v>0</v>
      </c>
      <c r="Y44" s="3">
        <f t="shared" si="16"/>
        <v>0</v>
      </c>
    </row>
    <row r="45" spans="1:25" x14ac:dyDescent="0.25">
      <c r="A45" t="s">
        <v>107</v>
      </c>
      <c r="B45">
        <v>5578872</v>
      </c>
      <c r="C45">
        <v>1704318</v>
      </c>
      <c r="D45">
        <v>44396</v>
      </c>
      <c r="E45">
        <v>30258</v>
      </c>
      <c r="F45">
        <v>0</v>
      </c>
      <c r="I45">
        <f t="shared" si="3"/>
        <v>0.30549508932988606</v>
      </c>
      <c r="J45">
        <f t="shared" si="4"/>
        <v>7.9578810913747446E-3</v>
      </c>
      <c r="K45">
        <f t="shared" si="5"/>
        <v>5.4236770443917698E-3</v>
      </c>
      <c r="L45">
        <f t="shared" si="6"/>
        <v>0</v>
      </c>
      <c r="N45" s="1">
        <f t="shared" si="7"/>
        <v>0.29584606528205465</v>
      </c>
      <c r="O45" s="1">
        <f t="shared" si="8"/>
        <v>4.3458492103834977E-3</v>
      </c>
      <c r="P45" s="1">
        <f t="shared" si="9"/>
        <v>2.1690193424385262E-3</v>
      </c>
      <c r="Q45" s="1">
        <f t="shared" si="10"/>
        <v>0</v>
      </c>
      <c r="S45" s="1">
        <f t="shared" si="11"/>
        <v>0.30236093383487667</v>
      </c>
      <c r="T45" s="2">
        <f t="shared" si="12"/>
        <v>1.3992224837665463</v>
      </c>
      <c r="V45" s="3">
        <f t="shared" si="13"/>
        <v>0.97845333896084641</v>
      </c>
      <c r="W45" s="3">
        <f t="shared" si="14"/>
        <v>1.4373051290934377E-2</v>
      </c>
      <c r="X45" s="3">
        <f t="shared" si="15"/>
        <v>7.173609748219182E-3</v>
      </c>
      <c r="Y45" s="3">
        <f t="shared" si="16"/>
        <v>0</v>
      </c>
    </row>
    <row r="46" spans="1:25" x14ac:dyDescent="0.25">
      <c r="A46" t="s">
        <v>108</v>
      </c>
      <c r="B46">
        <v>6170249</v>
      </c>
      <c r="C46">
        <v>1966604</v>
      </c>
      <c r="D46">
        <v>746668</v>
      </c>
      <c r="E46">
        <v>125177</v>
      </c>
      <c r="F46">
        <v>105846</v>
      </c>
      <c r="I46">
        <f t="shared" si="3"/>
        <v>0.31872360418517959</v>
      </c>
      <c r="J46">
        <f t="shared" si="4"/>
        <v>0.12101099971816373</v>
      </c>
      <c r="K46">
        <f t="shared" si="5"/>
        <v>2.028718776179049E-2</v>
      </c>
      <c r="L46">
        <f t="shared" si="6"/>
        <v>1.7154250987277821E-2</v>
      </c>
      <c r="N46" s="1">
        <f t="shared" si="7"/>
        <v>0.30907458013734818</v>
      </c>
      <c r="O46" s="1">
        <f t="shared" si="8"/>
        <v>0.11739896783717249</v>
      </c>
      <c r="P46" s="1">
        <f t="shared" si="9"/>
        <v>1.7032530059837247E-2</v>
      </c>
      <c r="Q46" s="1">
        <f t="shared" si="10"/>
        <v>1.7154250987277821E-2</v>
      </c>
      <c r="S46" s="1">
        <f t="shared" si="11"/>
        <v>0.46066032902163567</v>
      </c>
      <c r="T46" s="2">
        <f t="shared" si="12"/>
        <v>2.1317776789853871</v>
      </c>
      <c r="V46" s="3">
        <f t="shared" si="13"/>
        <v>0.67093813090823362</v>
      </c>
      <c r="W46" s="3">
        <f t="shared" si="14"/>
        <v>0.25484931182702009</v>
      </c>
      <c r="X46" s="3">
        <f t="shared" si="15"/>
        <v>3.6974162928271791E-2</v>
      </c>
      <c r="Y46" s="3">
        <f t="shared" si="16"/>
        <v>3.7238394336474641E-2</v>
      </c>
    </row>
    <row r="47" spans="1:25" x14ac:dyDescent="0.25">
      <c r="A47" t="s">
        <v>109</v>
      </c>
      <c r="B47">
        <v>6487979</v>
      </c>
      <c r="C47">
        <v>1702487</v>
      </c>
      <c r="D47">
        <v>1342715</v>
      </c>
      <c r="E47">
        <v>360665</v>
      </c>
      <c r="F47">
        <v>146172</v>
      </c>
      <c r="I47">
        <f t="shared" si="3"/>
        <v>0.26240636722159549</v>
      </c>
      <c r="J47">
        <f t="shared" si="4"/>
        <v>0.20695427651661635</v>
      </c>
      <c r="K47">
        <f t="shared" si="5"/>
        <v>5.5589729868114557E-2</v>
      </c>
      <c r="L47">
        <f t="shared" si="6"/>
        <v>2.2529666017722931E-2</v>
      </c>
      <c r="N47" s="1">
        <f t="shared" si="7"/>
        <v>0.25275734317376408</v>
      </c>
      <c r="O47" s="1">
        <f t="shared" si="8"/>
        <v>0.20334224463562511</v>
      </c>
      <c r="P47" s="1">
        <f t="shared" si="9"/>
        <v>5.233507216616131E-2</v>
      </c>
      <c r="Q47" s="1">
        <f t="shared" si="10"/>
        <v>2.2529666017722931E-2</v>
      </c>
      <c r="S47" s="1">
        <f t="shared" si="11"/>
        <v>0.53096432599327337</v>
      </c>
      <c r="T47" s="2">
        <f t="shared" si="12"/>
        <v>2.4571204142842937</v>
      </c>
      <c r="V47" s="3">
        <f t="shared" si="13"/>
        <v>0.47603451079492332</v>
      </c>
      <c r="W47" s="3">
        <f t="shared" si="14"/>
        <v>0.38296780909947836</v>
      </c>
      <c r="X47" s="3">
        <f t="shared" si="15"/>
        <v>9.8566079874120069E-2</v>
      </c>
      <c r="Y47" s="3">
        <f t="shared" si="16"/>
        <v>4.2431600231478364E-2</v>
      </c>
    </row>
    <row r="48" spans="1:25" x14ac:dyDescent="0.25">
      <c r="A48" t="s">
        <v>110</v>
      </c>
      <c r="B48">
        <v>6380324</v>
      </c>
      <c r="C48">
        <v>1782004</v>
      </c>
      <c r="D48">
        <v>1257610</v>
      </c>
      <c r="E48">
        <v>386678</v>
      </c>
      <c r="F48">
        <v>130894</v>
      </c>
      <c r="I48">
        <f t="shared" si="3"/>
        <v>0.27929678806280056</v>
      </c>
      <c r="J48">
        <f t="shared" si="4"/>
        <v>0.19710754500868607</v>
      </c>
      <c r="K48">
        <f t="shared" si="5"/>
        <v>6.0604759256739943E-2</v>
      </c>
      <c r="L48">
        <f t="shared" si="6"/>
        <v>2.0515259099694625E-2</v>
      </c>
      <c r="N48" s="1">
        <f t="shared" si="7"/>
        <v>0.26964776401496915</v>
      </c>
      <c r="O48" s="1">
        <f t="shared" si="8"/>
        <v>0.19349551312769483</v>
      </c>
      <c r="P48" s="1">
        <f t="shared" si="9"/>
        <v>5.7350101554786696E-2</v>
      </c>
      <c r="Q48" s="1">
        <f t="shared" si="10"/>
        <v>2.0515259099694625E-2</v>
      </c>
      <c r="S48" s="1">
        <f t="shared" si="11"/>
        <v>0.54100863779714536</v>
      </c>
      <c r="T48" s="2">
        <f t="shared" si="12"/>
        <v>2.5036020371966461</v>
      </c>
      <c r="V48" s="3">
        <f t="shared" si="13"/>
        <v>0.49841674453278378</v>
      </c>
      <c r="W48" s="3">
        <f t="shared" si="14"/>
        <v>0.35765697552549469</v>
      </c>
      <c r="X48" s="3">
        <f t="shared" si="15"/>
        <v>0.10600588890466196</v>
      </c>
      <c r="Y48" s="3">
        <f t="shared" si="16"/>
        <v>3.7920391037059471E-2</v>
      </c>
    </row>
    <row r="49" spans="1:25" x14ac:dyDescent="0.25">
      <c r="A49" t="s">
        <v>111</v>
      </c>
      <c r="B49">
        <v>6215301</v>
      </c>
      <c r="C49">
        <v>1962326</v>
      </c>
      <c r="D49">
        <v>274182</v>
      </c>
      <c r="E49">
        <v>175928</v>
      </c>
      <c r="F49">
        <v>0</v>
      </c>
      <c r="I49">
        <f t="shared" si="3"/>
        <v>0.31572501476597836</v>
      </c>
      <c r="J49">
        <f t="shared" si="4"/>
        <v>4.4114034058849283E-2</v>
      </c>
      <c r="K49">
        <f t="shared" si="5"/>
        <v>2.8305628319529496E-2</v>
      </c>
      <c r="L49">
        <f t="shared" si="6"/>
        <v>0</v>
      </c>
      <c r="N49" s="1">
        <f t="shared" si="7"/>
        <v>0.30607599071814695</v>
      </c>
      <c r="O49" s="1">
        <f t="shared" si="8"/>
        <v>4.0502002177858036E-2</v>
      </c>
      <c r="P49" s="1">
        <f t="shared" si="9"/>
        <v>2.5050970617576253E-2</v>
      </c>
      <c r="Q49" s="1">
        <f t="shared" si="10"/>
        <v>0</v>
      </c>
      <c r="S49" s="1">
        <f t="shared" si="11"/>
        <v>0.37162896351358127</v>
      </c>
      <c r="T49" s="2">
        <f t="shared" si="12"/>
        <v>1.7197711184839597</v>
      </c>
      <c r="V49" s="3">
        <f t="shared" si="13"/>
        <v>0.8236063944648957</v>
      </c>
      <c r="W49" s="3">
        <f t="shared" si="14"/>
        <v>0.10898505271206581</v>
      </c>
      <c r="X49" s="3">
        <f t="shared" si="15"/>
        <v>6.7408552823038398E-2</v>
      </c>
      <c r="Y49" s="3">
        <f t="shared" si="16"/>
        <v>0</v>
      </c>
    </row>
    <row r="50" spans="1:25" x14ac:dyDescent="0.25">
      <c r="A50" t="s">
        <v>112</v>
      </c>
      <c r="B50">
        <v>5731159</v>
      </c>
      <c r="C50">
        <v>1039310</v>
      </c>
      <c r="D50">
        <v>21606</v>
      </c>
      <c r="E50">
        <v>38372</v>
      </c>
      <c r="F50">
        <v>0</v>
      </c>
      <c r="I50">
        <f t="shared" si="3"/>
        <v>0.18134377357180284</v>
      </c>
      <c r="J50">
        <f t="shared" si="4"/>
        <v>3.7699180916111385E-3</v>
      </c>
      <c r="K50">
        <f t="shared" si="5"/>
        <v>6.6953298625984725E-3</v>
      </c>
      <c r="L50">
        <f t="shared" si="6"/>
        <v>0</v>
      </c>
      <c r="N50" s="1">
        <f t="shared" si="7"/>
        <v>0.17169474952397143</v>
      </c>
      <c r="O50" s="1">
        <f t="shared" si="8"/>
        <v>1.5788621061989163E-4</v>
      </c>
      <c r="P50" s="1">
        <f t="shared" si="9"/>
        <v>3.440672160645229E-3</v>
      </c>
      <c r="Q50" s="1">
        <f t="shared" si="10"/>
        <v>0</v>
      </c>
      <c r="S50" s="1">
        <f t="shared" si="11"/>
        <v>0.17529330789523653</v>
      </c>
      <c r="T50" s="2">
        <f t="shared" si="12"/>
        <v>0.81119718261875184</v>
      </c>
      <c r="V50" s="3">
        <f t="shared" si="13"/>
        <v>0.9794712164744146</v>
      </c>
      <c r="W50" s="3">
        <f t="shared" si="14"/>
        <v>9.0069730850336738E-4</v>
      </c>
      <c r="X50" s="3">
        <f t="shared" si="15"/>
        <v>1.9628086217082147E-2</v>
      </c>
      <c r="Y50" s="3">
        <f t="shared" si="16"/>
        <v>0</v>
      </c>
    </row>
    <row r="51" spans="1:25" x14ac:dyDescent="0.25">
      <c r="A51" t="s">
        <v>113</v>
      </c>
      <c r="B51">
        <v>6136804</v>
      </c>
      <c r="C51">
        <v>1879737</v>
      </c>
      <c r="D51">
        <v>59968</v>
      </c>
      <c r="E51">
        <v>0</v>
      </c>
      <c r="F51">
        <v>0</v>
      </c>
      <c r="I51">
        <f t="shared" si="3"/>
        <v>0.30630552971872654</v>
      </c>
      <c r="J51">
        <f t="shared" si="4"/>
        <v>9.7718617052133319E-3</v>
      </c>
      <c r="K51">
        <f t="shared" si="5"/>
        <v>0</v>
      </c>
      <c r="L51">
        <f t="shared" si="6"/>
        <v>0</v>
      </c>
      <c r="N51" s="1">
        <f t="shared" si="7"/>
        <v>0.29665650567089513</v>
      </c>
      <c r="O51" s="1">
        <f t="shared" si="8"/>
        <v>6.159829824222085E-3</v>
      </c>
      <c r="P51" s="1">
        <v>0</v>
      </c>
      <c r="Q51" s="1">
        <f t="shared" si="10"/>
        <v>0</v>
      </c>
      <c r="S51" s="1">
        <f t="shared" si="11"/>
        <v>0.30281633549511722</v>
      </c>
      <c r="T51" s="2">
        <f t="shared" si="12"/>
        <v>1.4013299261337575</v>
      </c>
      <c r="V51" s="3">
        <f t="shared" si="13"/>
        <v>0.97965819837905865</v>
      </c>
      <c r="W51" s="3">
        <f t="shared" si="14"/>
        <v>2.0341801620941315E-2</v>
      </c>
      <c r="X51" s="3">
        <f t="shared" si="15"/>
        <v>0</v>
      </c>
      <c r="Y51" s="3">
        <f t="shared" si="16"/>
        <v>0</v>
      </c>
    </row>
    <row r="52" spans="1:25" x14ac:dyDescent="0.25">
      <c r="A52" t="s">
        <v>114</v>
      </c>
      <c r="B52">
        <v>6031872</v>
      </c>
      <c r="C52">
        <v>678748</v>
      </c>
      <c r="D52">
        <v>1275886</v>
      </c>
      <c r="E52">
        <v>136932</v>
      </c>
      <c r="F52">
        <v>54074</v>
      </c>
      <c r="I52">
        <f t="shared" si="3"/>
        <v>0.11252692364824718</v>
      </c>
      <c r="J52">
        <f t="shared" si="4"/>
        <v>0.21152405090824208</v>
      </c>
      <c r="K52">
        <f t="shared" si="5"/>
        <v>2.2701410109498346E-2</v>
      </c>
      <c r="L52">
        <f t="shared" si="6"/>
        <v>8.9647127790510144E-3</v>
      </c>
      <c r="N52" s="1">
        <f t="shared" si="7"/>
        <v>0.10287789960041577</v>
      </c>
      <c r="O52" s="1">
        <f>J52-J$61</f>
        <v>0.20791201902725084</v>
      </c>
      <c r="P52" s="1">
        <f t="shared" si="9"/>
        <v>1.9446752407545103E-2</v>
      </c>
      <c r="Q52" s="1">
        <f t="shared" si="10"/>
        <v>8.9647127790510144E-3</v>
      </c>
      <c r="S52" s="1">
        <f t="shared" si="11"/>
        <v>0.33920138381426274</v>
      </c>
      <c r="T52" s="2">
        <f t="shared" si="12"/>
        <v>1.5697074246266141</v>
      </c>
      <c r="V52" s="3">
        <f t="shared" si="13"/>
        <v>0.30329445724416282</v>
      </c>
      <c r="W52" s="3">
        <f t="shared" si="14"/>
        <v>0.6129456687036916</v>
      </c>
      <c r="X52" s="3">
        <f t="shared" si="15"/>
        <v>5.7330993726704853E-2</v>
      </c>
      <c r="Y52" s="3">
        <f t="shared" si="16"/>
        <v>2.6428880325440659E-2</v>
      </c>
    </row>
    <row r="53" spans="1:25" x14ac:dyDescent="0.25">
      <c r="A53" t="s">
        <v>115</v>
      </c>
      <c r="B53">
        <v>5855922</v>
      </c>
      <c r="C53">
        <v>2042441</v>
      </c>
      <c r="D53">
        <v>0</v>
      </c>
      <c r="E53">
        <v>0</v>
      </c>
      <c r="F53">
        <v>0</v>
      </c>
      <c r="I53">
        <f t="shared" si="3"/>
        <v>0.34878213883313336</v>
      </c>
      <c r="J53">
        <f t="shared" si="4"/>
        <v>0</v>
      </c>
      <c r="K53">
        <f t="shared" si="5"/>
        <v>0</v>
      </c>
      <c r="L53">
        <f t="shared" si="6"/>
        <v>0</v>
      </c>
      <c r="N53" s="1">
        <f t="shared" si="7"/>
        <v>0.33913311478530195</v>
      </c>
      <c r="O53" s="1">
        <v>0</v>
      </c>
      <c r="P53" s="1">
        <v>0</v>
      </c>
      <c r="Q53" s="1">
        <f t="shared" si="10"/>
        <v>0</v>
      </c>
      <c r="S53" s="1">
        <f t="shared" si="11"/>
        <v>0.33913311478530195</v>
      </c>
      <c r="T53" s="2">
        <f t="shared" si="12"/>
        <v>1.569391499023874</v>
      </c>
      <c r="V53" s="3">
        <f t="shared" si="13"/>
        <v>1</v>
      </c>
      <c r="W53" s="3">
        <f t="shared" si="14"/>
        <v>0</v>
      </c>
      <c r="X53" s="3">
        <f t="shared" si="15"/>
        <v>0</v>
      </c>
      <c r="Y53" s="3">
        <f t="shared" si="16"/>
        <v>0</v>
      </c>
    </row>
    <row r="54" spans="1:25" x14ac:dyDescent="0.25">
      <c r="A54" t="s">
        <v>49</v>
      </c>
      <c r="B54">
        <v>6390026</v>
      </c>
      <c r="C54">
        <v>408891</v>
      </c>
      <c r="D54">
        <v>615477</v>
      </c>
      <c r="E54">
        <v>147212</v>
      </c>
      <c r="F54">
        <v>31836</v>
      </c>
      <c r="I54">
        <f t="shared" si="3"/>
        <v>6.398894151604391E-2</v>
      </c>
      <c r="J54">
        <f t="shared" si="4"/>
        <v>9.6318387436921227E-2</v>
      </c>
      <c r="K54">
        <f t="shared" si="5"/>
        <v>2.3037777937053777E-2</v>
      </c>
      <c r="L54">
        <f t="shared" si="6"/>
        <v>4.9821393527976253E-3</v>
      </c>
      <c r="N54" s="1">
        <f t="shared" si="7"/>
        <v>5.4339917468212498E-2</v>
      </c>
      <c r="O54" s="1">
        <f t="shared" si="8"/>
        <v>9.2706355555929987E-2</v>
      </c>
      <c r="P54" s="1">
        <f t="shared" si="9"/>
        <v>1.9783120235100534E-2</v>
      </c>
      <c r="Q54" s="1">
        <f t="shared" si="10"/>
        <v>4.9821393527976253E-3</v>
      </c>
      <c r="S54" s="1">
        <f t="shared" si="11"/>
        <v>0.17181153261204063</v>
      </c>
      <c r="T54" s="2">
        <f t="shared" si="12"/>
        <v>0.79508472325476909</v>
      </c>
      <c r="V54" s="3">
        <f t="shared" si="13"/>
        <v>0.31627630952408098</v>
      </c>
      <c r="W54" s="3">
        <f t="shared" si="14"/>
        <v>0.53958168084831504</v>
      </c>
      <c r="X54" s="3">
        <f t="shared" si="15"/>
        <v>0.11514430919938214</v>
      </c>
      <c r="Y54" s="3">
        <f t="shared" si="16"/>
        <v>2.8997700428221865E-2</v>
      </c>
    </row>
    <row r="55" spans="1:25" x14ac:dyDescent="0.25">
      <c r="A55" t="s">
        <v>49</v>
      </c>
      <c r="B55">
        <v>6657120</v>
      </c>
      <c r="C55">
        <v>467568</v>
      </c>
      <c r="D55">
        <v>740410</v>
      </c>
      <c r="E55">
        <v>190770</v>
      </c>
      <c r="F55">
        <v>50369</v>
      </c>
      <c r="I55">
        <f t="shared" si="3"/>
        <v>7.0235777633571278E-2</v>
      </c>
      <c r="J55">
        <f t="shared" si="4"/>
        <v>0.11122076813997644</v>
      </c>
      <c r="K55">
        <f t="shared" si="5"/>
        <v>2.8656536159780806E-2</v>
      </c>
      <c r="L55">
        <f t="shared" si="6"/>
        <v>7.5661847766000916E-3</v>
      </c>
      <c r="N55" s="1">
        <f t="shared" si="7"/>
        <v>6.0586753585739866E-2</v>
      </c>
      <c r="O55" s="1">
        <f t="shared" si="8"/>
        <v>0.1076087362589852</v>
      </c>
      <c r="P55" s="1">
        <f t="shared" si="9"/>
        <v>2.5401878457827563E-2</v>
      </c>
      <c r="Q55" s="1">
        <f t="shared" si="10"/>
        <v>7.5661847766000916E-3</v>
      </c>
      <c r="S55" s="1">
        <f t="shared" si="11"/>
        <v>0.20116355307915273</v>
      </c>
      <c r="T55" s="2">
        <f t="shared" si="12"/>
        <v>0.93091578602026503</v>
      </c>
      <c r="V55" s="3">
        <f t="shared" si="13"/>
        <v>0.30118156424638476</v>
      </c>
      <c r="W55" s="3">
        <f t="shared" si="14"/>
        <v>0.53493157488943288</v>
      </c>
      <c r="X55" s="3">
        <f t="shared" si="15"/>
        <v>0.12627475538688945</v>
      </c>
      <c r="Y55" s="3">
        <f t="shared" si="16"/>
        <v>3.7612105477292851E-2</v>
      </c>
    </row>
    <row r="56" spans="1:25" x14ac:dyDescent="0.25">
      <c r="A56" t="s">
        <v>49</v>
      </c>
      <c r="B56">
        <v>6638181</v>
      </c>
      <c r="C56">
        <v>604486</v>
      </c>
      <c r="D56">
        <v>1002674</v>
      </c>
      <c r="E56">
        <v>256310</v>
      </c>
      <c r="F56">
        <v>62958</v>
      </c>
      <c r="I56">
        <f t="shared" si="3"/>
        <v>9.1061994242097349E-2</v>
      </c>
      <c r="J56">
        <f t="shared" si="4"/>
        <v>0.15104649903339484</v>
      </c>
      <c r="K56">
        <f t="shared" si="5"/>
        <v>3.8611481066876605E-2</v>
      </c>
      <c r="L56">
        <f t="shared" si="6"/>
        <v>9.4842246693785538E-3</v>
      </c>
      <c r="N56" s="1">
        <f t="shared" si="7"/>
        <v>8.1412970194265938E-2</v>
      </c>
      <c r="O56" s="1">
        <f t="shared" si="8"/>
        <v>0.1474344671524036</v>
      </c>
      <c r="P56" s="1">
        <f t="shared" si="9"/>
        <v>3.5356823364923358E-2</v>
      </c>
      <c r="Q56" s="1">
        <f t="shared" si="10"/>
        <v>9.4842246693785538E-3</v>
      </c>
      <c r="S56" s="1">
        <f t="shared" si="11"/>
        <v>0.27368848538097146</v>
      </c>
      <c r="T56" s="2">
        <f t="shared" si="12"/>
        <v>1.2665362467169838</v>
      </c>
      <c r="V56" s="3">
        <f t="shared" si="13"/>
        <v>0.29746582170214414</v>
      </c>
      <c r="W56" s="3">
        <f t="shared" si="14"/>
        <v>0.53869444652439946</v>
      </c>
      <c r="X56" s="3">
        <f t="shared" si="15"/>
        <v>0.1291863752167251</v>
      </c>
      <c r="Y56" s="3">
        <f t="shared" si="16"/>
        <v>3.4653356556731331E-2</v>
      </c>
    </row>
    <row r="57" spans="1:25" x14ac:dyDescent="0.25">
      <c r="A57" t="s">
        <v>50</v>
      </c>
      <c r="B57">
        <v>6427964</v>
      </c>
      <c r="C57">
        <v>64185</v>
      </c>
      <c r="D57">
        <v>23862</v>
      </c>
      <c r="E57">
        <v>19888</v>
      </c>
      <c r="F57">
        <v>0</v>
      </c>
      <c r="I57">
        <f t="shared" si="3"/>
        <v>9.9852768310463476E-3</v>
      </c>
      <c r="J57">
        <f t="shared" si="4"/>
        <v>3.7122174299669382E-3</v>
      </c>
      <c r="K57">
        <f t="shared" si="5"/>
        <v>3.093981235738097E-3</v>
      </c>
      <c r="L57">
        <f t="shared" si="6"/>
        <v>0</v>
      </c>
      <c r="N57" s="1">
        <f t="shared" si="7"/>
        <v>3.3625278321493431E-4</v>
      </c>
      <c r="O57" s="1">
        <f t="shared" si="8"/>
        <v>1.0018554897569133E-4</v>
      </c>
      <c r="P57" s="1">
        <v>0</v>
      </c>
      <c r="Q57" s="1">
        <f t="shared" si="10"/>
        <v>0</v>
      </c>
      <c r="S57" s="1">
        <f t="shared" si="11"/>
        <v>4.3643833219062563E-4</v>
      </c>
      <c r="T57" s="2">
        <f t="shared" si="12"/>
        <v>2.0196866024768715E-3</v>
      </c>
      <c r="V57" s="3">
        <f t="shared" si="13"/>
        <v>0.77044741126924499</v>
      </c>
      <c r="W57" s="3">
        <f t="shared" si="14"/>
        <v>0.22955258873075501</v>
      </c>
      <c r="X57" s="3">
        <f t="shared" si="15"/>
        <v>0</v>
      </c>
      <c r="Y57" s="3">
        <f t="shared" si="16"/>
        <v>0</v>
      </c>
    </row>
    <row r="58" spans="1:25" x14ac:dyDescent="0.25">
      <c r="A58" t="s">
        <v>50</v>
      </c>
      <c r="B58">
        <v>6264615</v>
      </c>
      <c r="C58">
        <v>58286</v>
      </c>
      <c r="D58">
        <v>21984</v>
      </c>
      <c r="E58">
        <v>21422</v>
      </c>
      <c r="F58">
        <v>0</v>
      </c>
      <c r="I58">
        <f t="shared" si="3"/>
        <v>9.3040035181731033E-3</v>
      </c>
      <c r="J58">
        <f t="shared" si="4"/>
        <v>3.5092340071975693E-3</v>
      </c>
      <c r="K58">
        <f t="shared" si="5"/>
        <v>3.4195237855798003E-3</v>
      </c>
      <c r="L58">
        <f t="shared" si="6"/>
        <v>0</v>
      </c>
      <c r="N58" s="1">
        <v>0</v>
      </c>
      <c r="O58" s="1">
        <v>0</v>
      </c>
      <c r="P58" s="1">
        <f t="shared" si="9"/>
        <v>1.6486608362655669E-4</v>
      </c>
      <c r="Q58" s="1">
        <f t="shared" si="10"/>
        <v>0</v>
      </c>
      <c r="S58" s="1">
        <f t="shared" si="11"/>
        <v>1.6486608362655669E-4</v>
      </c>
      <c r="T58" s="2">
        <f t="shared" si="12"/>
        <v>7.6294357242193719E-4</v>
      </c>
      <c r="V58" s="3">
        <f t="shared" si="13"/>
        <v>0</v>
      </c>
      <c r="W58" s="3">
        <f t="shared" si="14"/>
        <v>0</v>
      </c>
      <c r="X58" s="3">
        <f t="shared" si="15"/>
        <v>1</v>
      </c>
      <c r="Y58" s="3">
        <f t="shared" si="16"/>
        <v>0</v>
      </c>
    </row>
    <row r="59" spans="1:25" x14ac:dyDescent="0.25">
      <c r="A59" t="s">
        <v>51</v>
      </c>
      <c r="B59">
        <v>6531212</v>
      </c>
      <c r="C59">
        <v>92104</v>
      </c>
      <c r="D59">
        <v>25587</v>
      </c>
      <c r="E59">
        <v>17975</v>
      </c>
      <c r="F59">
        <v>0</v>
      </c>
      <c r="I59">
        <f t="shared" si="3"/>
        <v>1.4102129895645708E-2</v>
      </c>
      <c r="J59">
        <f t="shared" si="4"/>
        <v>3.9176495878559753E-3</v>
      </c>
      <c r="K59">
        <f t="shared" si="5"/>
        <v>2.7521691226681968E-3</v>
      </c>
      <c r="L59">
        <f t="shared" si="6"/>
        <v>0</v>
      </c>
      <c r="N59" s="1">
        <f t="shared" si="7"/>
        <v>4.4531058478142951E-3</v>
      </c>
      <c r="O59" s="1">
        <f t="shared" si="8"/>
        <v>3.0561770686472842E-4</v>
      </c>
      <c r="P59" s="1">
        <v>0</v>
      </c>
      <c r="Q59" s="1">
        <f t="shared" si="10"/>
        <v>0</v>
      </c>
      <c r="S59" s="1">
        <f t="shared" si="11"/>
        <v>4.7587235546790235E-3</v>
      </c>
      <c r="T59" s="2">
        <f t="shared" si="12"/>
        <v>2.2021737091778709E-2</v>
      </c>
      <c r="V59" s="3">
        <f t="shared" si="13"/>
        <v>0.93577737740948841</v>
      </c>
      <c r="W59" s="3">
        <f t="shared" si="14"/>
        <v>6.4222622590511536E-2</v>
      </c>
      <c r="X59" s="3">
        <f t="shared" si="15"/>
        <v>0</v>
      </c>
      <c r="Y59" s="3">
        <f t="shared" si="16"/>
        <v>0</v>
      </c>
    </row>
    <row r="60" spans="1:25" x14ac:dyDescent="0.25">
      <c r="A60" t="s">
        <v>52</v>
      </c>
      <c r="B60">
        <f>AVERAGE(B54:B56)</f>
        <v>6561775.666666667</v>
      </c>
      <c r="C60">
        <f t="shared" ref="C60:F60" si="17">AVERAGE(C54:C56)</f>
        <v>493648.33333333331</v>
      </c>
      <c r="D60">
        <f t="shared" si="17"/>
        <v>786187</v>
      </c>
      <c r="E60">
        <f t="shared" si="17"/>
        <v>198097.33333333334</v>
      </c>
      <c r="F60">
        <f t="shared" si="17"/>
        <v>48387.666666666664</v>
      </c>
      <c r="I60">
        <f t="shared" si="3"/>
        <v>7.5230906756082835E-2</v>
      </c>
      <c r="J60">
        <f t="shared" si="4"/>
        <v>0.11981314813820466</v>
      </c>
      <c r="K60">
        <f t="shared" si="5"/>
        <v>3.0189592481750495E-2</v>
      </c>
      <c r="L60">
        <f t="shared" si="6"/>
        <v>7.3741726515388836E-3</v>
      </c>
      <c r="N60" s="1">
        <f t="shared" si="7"/>
        <v>6.5581882708251424E-2</v>
      </c>
      <c r="O60" s="1">
        <f>J60-J$61</f>
        <v>0.11620111625721341</v>
      </c>
      <c r="P60" s="1">
        <f t="shared" si="9"/>
        <v>2.6934934779797252E-2</v>
      </c>
      <c r="Q60" s="1">
        <f t="shared" si="10"/>
        <v>7.3741726515388836E-3</v>
      </c>
      <c r="S60" s="1">
        <f t="shared" si="11"/>
        <v>0.21609210639680099</v>
      </c>
      <c r="T60" s="2">
        <f t="shared" si="12"/>
        <v>1</v>
      </c>
      <c r="V60" s="3">
        <f t="shared" si="13"/>
        <v>0.30349041342503336</v>
      </c>
      <c r="W60" s="3">
        <f t="shared" si="14"/>
        <v>0.53773882903357018</v>
      </c>
      <c r="X60" s="3">
        <f t="shared" si="15"/>
        <v>0.12464562092952043</v>
      </c>
      <c r="Y60" s="3">
        <f t="shared" si="16"/>
        <v>3.4125136611876029E-2</v>
      </c>
    </row>
    <row r="61" spans="1:25" x14ac:dyDescent="0.25">
      <c r="A61" t="s">
        <v>53</v>
      </c>
      <c r="B61">
        <f>AVERAGE(B57:B58)</f>
        <v>6346289.5</v>
      </c>
      <c r="C61">
        <f t="shared" ref="C61:F61" si="18">AVERAGE(C57:C58)</f>
        <v>61235.5</v>
      </c>
      <c r="D61">
        <f t="shared" si="18"/>
        <v>22923</v>
      </c>
      <c r="E61">
        <f t="shared" si="18"/>
        <v>20655</v>
      </c>
      <c r="F61">
        <f t="shared" si="18"/>
        <v>0</v>
      </c>
      <c r="I61">
        <f t="shared" si="3"/>
        <v>9.6490240478314133E-3</v>
      </c>
      <c r="J61">
        <f t="shared" si="4"/>
        <v>3.6120318809912469E-3</v>
      </c>
      <c r="K61">
        <f t="shared" si="5"/>
        <v>3.2546577019532436E-3</v>
      </c>
      <c r="L61">
        <f t="shared" si="6"/>
        <v>0</v>
      </c>
      <c r="N61" s="1">
        <f t="shared" si="7"/>
        <v>0</v>
      </c>
      <c r="O61" s="1">
        <f t="shared" si="8"/>
        <v>0</v>
      </c>
      <c r="P61" s="1">
        <f t="shared" si="9"/>
        <v>0</v>
      </c>
      <c r="Q61" s="1">
        <f t="shared" si="10"/>
        <v>0</v>
      </c>
      <c r="S61" s="1">
        <f t="shared" si="11"/>
        <v>0</v>
      </c>
      <c r="T61" s="2">
        <f t="shared" si="12"/>
        <v>0</v>
      </c>
      <c r="V61" s="3"/>
      <c r="W61" s="3"/>
      <c r="X61" s="3"/>
      <c r="Y61" s="3"/>
    </row>
    <row r="64" spans="1:25" x14ac:dyDescent="0.25">
      <c r="A64" t="s">
        <v>120</v>
      </c>
    </row>
  </sheetData>
  <mergeCells count="4">
    <mergeCell ref="V1:Y1"/>
    <mergeCell ref="B1:F1"/>
    <mergeCell ref="I1:L1"/>
    <mergeCell ref="N1:Q1"/>
  </mergeCells>
  <phoneticPr fontId="2" type="noConversion"/>
  <conditionalFormatting sqref="T4:T61">
    <cfRule type="colorScale" priority="1">
      <colorScale>
        <cfvo type="min"/>
        <cfvo type="max"/>
        <color theme="0"/>
        <color theme="1" tint="0.499984740745262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90A8A-D5BA-4B66-A9E8-26BC9349391A}">
  <dimension ref="A1:I57"/>
  <sheetViews>
    <sheetView workbookViewId="0">
      <selection activeCell="L18" sqref="L18"/>
    </sheetView>
  </sheetViews>
  <sheetFormatPr defaultRowHeight="15" x14ac:dyDescent="0.25"/>
  <cols>
    <col min="1" max="1" width="10.7109375" bestFit="1" customWidth="1"/>
    <col min="2" max="2" width="22.140625" bestFit="1" customWidth="1"/>
    <col min="3" max="3" width="15.42578125" bestFit="1" customWidth="1"/>
    <col min="5" max="6" width="11.42578125" bestFit="1" customWidth="1"/>
  </cols>
  <sheetData>
    <row r="1" spans="1:9" x14ac:dyDescent="0.25">
      <c r="B1" t="s">
        <v>57</v>
      </c>
      <c r="C1" t="s">
        <v>58</v>
      </c>
      <c r="D1" t="s">
        <v>0</v>
      </c>
      <c r="E1" t="s">
        <v>59</v>
      </c>
      <c r="F1" t="s">
        <v>60</v>
      </c>
      <c r="G1" t="s">
        <v>2</v>
      </c>
    </row>
    <row r="2" spans="1:9" x14ac:dyDescent="0.25">
      <c r="D2">
        <v>7.06</v>
      </c>
      <c r="E2">
        <v>8.4</v>
      </c>
      <c r="F2">
        <v>9</v>
      </c>
      <c r="G2">
        <v>10.9</v>
      </c>
    </row>
    <row r="3" spans="1:9" x14ac:dyDescent="0.25">
      <c r="A3" t="s">
        <v>3</v>
      </c>
      <c r="B3" s="4">
        <v>2.8325207868556186</v>
      </c>
      <c r="D3" s="3">
        <v>0.66888962270760288</v>
      </c>
      <c r="E3" s="3">
        <v>0.32160587381122008</v>
      </c>
      <c r="F3" s="3">
        <v>9.5045034811770106E-3</v>
      </c>
      <c r="G3" s="3">
        <v>0</v>
      </c>
      <c r="I3" t="s">
        <v>56</v>
      </c>
    </row>
    <row r="4" spans="1:9" x14ac:dyDescent="0.25">
      <c r="A4" s="5" t="s">
        <v>4</v>
      </c>
      <c r="B4" s="4">
        <v>2.8426558272925355</v>
      </c>
      <c r="D4" s="3">
        <v>0.18504570020166353</v>
      </c>
      <c r="E4" s="3">
        <v>0.57397840920746135</v>
      </c>
      <c r="F4" s="3">
        <v>0.15940276424889877</v>
      </c>
      <c r="G4" s="3">
        <v>8.1573126341976304E-2</v>
      </c>
    </row>
    <row r="5" spans="1:9" x14ac:dyDescent="0.25">
      <c r="A5" t="s">
        <v>5</v>
      </c>
      <c r="B5" s="4">
        <v>1.9011366184625613</v>
      </c>
      <c r="D5" s="3">
        <v>0.94044854260365252</v>
      </c>
      <c r="E5" s="3">
        <v>2.248675621640708E-2</v>
      </c>
      <c r="F5" s="3">
        <v>2.987397635471788E-2</v>
      </c>
      <c r="G5" s="3">
        <v>7.19072482522253E-3</v>
      </c>
    </row>
    <row r="6" spans="1:9" x14ac:dyDescent="0.25">
      <c r="A6" s="5" t="s">
        <v>6</v>
      </c>
      <c r="B6" s="4">
        <v>3.7545636407079614</v>
      </c>
      <c r="D6" s="3">
        <v>0.98692086533183254</v>
      </c>
      <c r="E6" s="3">
        <v>1.0830121071192687E-2</v>
      </c>
      <c r="F6" s="3">
        <v>2.2490135969748053E-3</v>
      </c>
      <c r="G6" s="3">
        <v>0</v>
      </c>
    </row>
    <row r="7" spans="1:9" x14ac:dyDescent="0.25">
      <c r="A7" t="s">
        <v>7</v>
      </c>
      <c r="B7" s="4">
        <v>2.0581203892238689</v>
      </c>
      <c r="D7" s="3">
        <v>0.44505717399822958</v>
      </c>
      <c r="E7" s="3">
        <v>0.34225119811601867</v>
      </c>
      <c r="F7" s="3">
        <v>0.11591188689000007</v>
      </c>
      <c r="G7" s="3">
        <v>9.6779740995751803E-2</v>
      </c>
    </row>
    <row r="8" spans="1:9" x14ac:dyDescent="0.25">
      <c r="A8" t="s">
        <v>8</v>
      </c>
      <c r="B8" s="4">
        <v>1.4085860317127399</v>
      </c>
      <c r="D8" s="3">
        <v>0.37987481173763843</v>
      </c>
      <c r="E8" s="3">
        <v>0.40907234943732457</v>
      </c>
      <c r="F8" s="3">
        <v>0.11728672565597796</v>
      </c>
      <c r="G8" s="3">
        <v>9.3766113169059057E-2</v>
      </c>
    </row>
    <row r="9" spans="1:9" x14ac:dyDescent="0.25">
      <c r="A9" t="s">
        <v>9</v>
      </c>
      <c r="B9" s="4">
        <v>1.6133739766894195</v>
      </c>
      <c r="D9" s="3">
        <v>0.99043921174090088</v>
      </c>
      <c r="E9" s="3">
        <v>3.9121514227137754E-3</v>
      </c>
      <c r="F9" s="3">
        <v>5.6486368363853042E-3</v>
      </c>
      <c r="G9" s="3">
        <v>0</v>
      </c>
    </row>
    <row r="10" spans="1:9" x14ac:dyDescent="0.25">
      <c r="A10" t="s">
        <v>10</v>
      </c>
      <c r="B10" s="4">
        <v>2.0824256273790986</v>
      </c>
      <c r="D10" s="3">
        <v>0.97553205842221313</v>
      </c>
      <c r="E10" s="3">
        <v>2.1121224630192777E-2</v>
      </c>
      <c r="F10" s="3">
        <v>3.3467169475940597E-3</v>
      </c>
      <c r="G10" s="3">
        <v>0</v>
      </c>
    </row>
    <row r="11" spans="1:9" x14ac:dyDescent="0.25">
      <c r="A11" t="s">
        <v>11</v>
      </c>
      <c r="B11" s="4">
        <v>0.95769993726901104</v>
      </c>
      <c r="D11" s="3">
        <v>0.98588646570476646</v>
      </c>
      <c r="E11" s="3">
        <v>1.4113534295233472E-2</v>
      </c>
      <c r="F11" s="3">
        <v>0</v>
      </c>
      <c r="G11" s="3">
        <v>0</v>
      </c>
    </row>
    <row r="12" spans="1:9" x14ac:dyDescent="0.25">
      <c r="A12" t="s">
        <v>12</v>
      </c>
      <c r="B12" s="4">
        <v>1.2210192966008266</v>
      </c>
      <c r="D12" s="3">
        <v>0.99598479490653724</v>
      </c>
      <c r="E12" s="3">
        <v>2.9526704404906029E-3</v>
      </c>
      <c r="F12" s="3">
        <v>1.0625346529719647E-3</v>
      </c>
      <c r="G12" s="3">
        <v>0</v>
      </c>
    </row>
    <row r="13" spans="1:9" x14ac:dyDescent="0.25">
      <c r="A13" t="s">
        <v>13</v>
      </c>
      <c r="B13" s="4">
        <v>1.4686822116528631</v>
      </c>
      <c r="D13" s="3">
        <v>0.97574059800209612</v>
      </c>
      <c r="E13" s="3">
        <v>3.8640685372943093E-3</v>
      </c>
      <c r="F13" s="3">
        <v>2.039533346060951E-2</v>
      </c>
      <c r="G13" s="3">
        <v>0</v>
      </c>
    </row>
    <row r="14" spans="1:9" x14ac:dyDescent="0.25">
      <c r="A14" t="s">
        <v>14</v>
      </c>
      <c r="B14" s="4">
        <v>0.70809064625262697</v>
      </c>
      <c r="D14" s="3">
        <v>1</v>
      </c>
      <c r="E14" s="3">
        <v>0</v>
      </c>
      <c r="F14" s="3">
        <v>0</v>
      </c>
      <c r="G14" s="3">
        <v>0</v>
      </c>
    </row>
    <row r="15" spans="1:9" x14ac:dyDescent="0.25">
      <c r="A15" t="s">
        <v>15</v>
      </c>
      <c r="B15" s="4">
        <v>1.6735720856213843</v>
      </c>
      <c r="D15" s="3">
        <v>1</v>
      </c>
      <c r="E15" s="3">
        <v>0</v>
      </c>
      <c r="F15" s="3">
        <v>0</v>
      </c>
      <c r="G15" s="3">
        <v>0</v>
      </c>
    </row>
    <row r="16" spans="1:9" x14ac:dyDescent="0.25">
      <c r="A16" t="s">
        <v>16</v>
      </c>
      <c r="B16" s="4">
        <v>1.3235002200174713</v>
      </c>
      <c r="D16" s="3">
        <v>1</v>
      </c>
      <c r="E16" s="3">
        <v>0</v>
      </c>
      <c r="F16" s="3">
        <v>0</v>
      </c>
      <c r="G16" s="3">
        <v>0</v>
      </c>
    </row>
    <row r="17" spans="1:7" x14ac:dyDescent="0.25">
      <c r="A17" t="s">
        <v>17</v>
      </c>
      <c r="B17" s="4">
        <v>0.82545251683057796</v>
      </c>
      <c r="D17" s="3">
        <v>0.91193737739120317</v>
      </c>
      <c r="E17" s="3">
        <v>9.7434207893167218E-4</v>
      </c>
      <c r="F17" s="3">
        <v>8.7088280529865142E-2</v>
      </c>
      <c r="G17" s="3">
        <v>0</v>
      </c>
    </row>
    <row r="18" spans="1:7" x14ac:dyDescent="0.25">
      <c r="A18" t="s">
        <v>18</v>
      </c>
      <c r="B18" s="4">
        <v>0.92079810356211078</v>
      </c>
      <c r="D18" s="3">
        <v>0.86195235965541595</v>
      </c>
      <c r="E18" s="3">
        <v>0.10633474693834295</v>
      </c>
      <c r="F18" s="3">
        <v>3.1712893406241095E-2</v>
      </c>
      <c r="G18" s="3">
        <v>0</v>
      </c>
    </row>
    <row r="19" spans="1:7" x14ac:dyDescent="0.25">
      <c r="A19" t="s">
        <v>19</v>
      </c>
      <c r="B19" s="4">
        <v>1.8230491472667103</v>
      </c>
      <c r="D19" s="3">
        <v>0.87991561339117075</v>
      </c>
      <c r="E19" s="3">
        <v>6.5396903537811704E-2</v>
      </c>
      <c r="F19" s="3">
        <v>5.4687483071017534E-2</v>
      </c>
      <c r="G19" s="3">
        <v>0</v>
      </c>
    </row>
    <row r="20" spans="1:7" x14ac:dyDescent="0.25">
      <c r="A20" t="s">
        <v>20</v>
      </c>
      <c r="B20" s="4">
        <v>1.1440595869005497</v>
      </c>
      <c r="D20" s="3">
        <v>0.94665604783642898</v>
      </c>
      <c r="E20" s="3">
        <v>5.3343952163570942E-2</v>
      </c>
      <c r="F20" s="3">
        <v>0</v>
      </c>
      <c r="G20" s="3">
        <v>0</v>
      </c>
    </row>
    <row r="21" spans="1:7" x14ac:dyDescent="0.25">
      <c r="A21" t="s">
        <v>21</v>
      </c>
      <c r="B21" s="4">
        <v>1.2578851834574054</v>
      </c>
      <c r="D21" s="3">
        <v>0.96678220990746355</v>
      </c>
      <c r="E21" s="3">
        <v>2.0774624778489063E-2</v>
      </c>
      <c r="F21" s="3">
        <v>1.244316531404724E-2</v>
      </c>
      <c r="G21" s="3">
        <v>0</v>
      </c>
    </row>
    <row r="22" spans="1:7" x14ac:dyDescent="0.25">
      <c r="A22" t="s">
        <v>22</v>
      </c>
      <c r="B22" s="4">
        <v>2.2965782101840335</v>
      </c>
      <c r="D22" s="3">
        <v>0.99340112034652073</v>
      </c>
      <c r="E22" s="3">
        <v>2.2588471640254799E-3</v>
      </c>
      <c r="F22" s="3">
        <v>4.34003248945386E-3</v>
      </c>
      <c r="G22" s="3">
        <v>0</v>
      </c>
    </row>
    <row r="23" spans="1:7" x14ac:dyDescent="0.25">
      <c r="A23" t="s">
        <v>23</v>
      </c>
      <c r="B23" s="4">
        <v>0.74177828856439654</v>
      </c>
      <c r="D23" s="3">
        <v>0.26412300927529669</v>
      </c>
      <c r="E23" s="3">
        <v>0.49878483887948971</v>
      </c>
      <c r="F23" s="3">
        <v>0.19665280841090277</v>
      </c>
      <c r="G23" s="3">
        <v>4.0439343434310722E-2</v>
      </c>
    </row>
    <row r="24" spans="1:7" x14ac:dyDescent="0.25">
      <c r="A24" t="s">
        <v>24</v>
      </c>
      <c r="B24" s="4">
        <v>2.5662971622252795</v>
      </c>
      <c r="D24" s="3">
        <v>0.99803487189568219</v>
      </c>
      <c r="E24" s="3">
        <v>0</v>
      </c>
      <c r="F24" s="3">
        <v>1.9651281043177892E-3</v>
      </c>
      <c r="G24" s="3">
        <v>0</v>
      </c>
    </row>
    <row r="25" spans="1:7" x14ac:dyDescent="0.25">
      <c r="A25" t="s">
        <v>25</v>
      </c>
      <c r="B25" s="4">
        <v>2.300928580695266</v>
      </c>
      <c r="D25" s="3">
        <v>0.97718937632989411</v>
      </c>
      <c r="E25" s="3">
        <v>1.0609106690757496E-2</v>
      </c>
      <c r="F25" s="3">
        <v>1.2201516979348443E-2</v>
      </c>
      <c r="G25" s="3">
        <v>0</v>
      </c>
    </row>
    <row r="26" spans="1:7" x14ac:dyDescent="0.25">
      <c r="A26" t="s">
        <v>26</v>
      </c>
      <c r="B26" s="4">
        <v>1.298523517685739</v>
      </c>
      <c r="D26" s="3">
        <v>0.27361341767389996</v>
      </c>
      <c r="E26" s="3">
        <v>0.50096915963639443</v>
      </c>
      <c r="F26" s="3">
        <v>0.18026534983500664</v>
      </c>
      <c r="G26" s="3">
        <v>4.5152072854698924E-2</v>
      </c>
    </row>
    <row r="27" spans="1:7" x14ac:dyDescent="0.25">
      <c r="A27" t="s">
        <v>27</v>
      </c>
      <c r="B27" s="4">
        <v>2.7829007070450871</v>
      </c>
      <c r="D27" s="3">
        <v>0.76015381048045538</v>
      </c>
      <c r="E27" s="3">
        <v>0.20882334219621801</v>
      </c>
      <c r="F27" s="3">
        <v>3.1022847323326677E-2</v>
      </c>
      <c r="G27" s="3">
        <v>0</v>
      </c>
    </row>
    <row r="28" spans="1:7" x14ac:dyDescent="0.25">
      <c r="A28" t="s">
        <v>28</v>
      </c>
      <c r="B28" s="4">
        <v>1.5063332838106296</v>
      </c>
      <c r="D28" s="3">
        <v>0.97318322059723839</v>
      </c>
      <c r="E28" s="3">
        <v>1.4610943327915564E-2</v>
      </c>
      <c r="F28" s="3">
        <v>1.2205836074846028E-2</v>
      </c>
      <c r="G28" s="3">
        <v>0</v>
      </c>
    </row>
    <row r="29" spans="1:7" x14ac:dyDescent="0.25">
      <c r="A29" t="s">
        <v>29</v>
      </c>
      <c r="B29" s="4">
        <v>2.7535428471819241</v>
      </c>
      <c r="D29" s="3">
        <v>0.98113747030632759</v>
      </c>
      <c r="E29" s="3">
        <v>3.7351603218650398E-3</v>
      </c>
      <c r="F29" s="3">
        <v>1.5127369371807321E-2</v>
      </c>
      <c r="G29" s="3">
        <v>0</v>
      </c>
    </row>
    <row r="30" spans="1:7" x14ac:dyDescent="0.25">
      <c r="A30" t="s">
        <v>30</v>
      </c>
      <c r="B30" s="4">
        <v>1.6063462911149053</v>
      </c>
      <c r="D30" s="3">
        <v>0.2844940445917955</v>
      </c>
      <c r="E30" s="3">
        <v>0.46604679946596606</v>
      </c>
      <c r="F30" s="3">
        <v>0.14944304418030355</v>
      </c>
      <c r="G30" s="3">
        <v>0.10001611176193502</v>
      </c>
    </row>
    <row r="31" spans="1:7" x14ac:dyDescent="0.25">
      <c r="A31" t="s">
        <v>31</v>
      </c>
      <c r="B31" s="4">
        <v>0.56728745057910579</v>
      </c>
      <c r="D31" s="3">
        <v>0.99465929435899036</v>
      </c>
      <c r="E31" s="3">
        <v>4.8890877497299971E-3</v>
      </c>
      <c r="F31" s="3">
        <v>4.5161789127970935E-4</v>
      </c>
      <c r="G31" s="3">
        <v>0</v>
      </c>
    </row>
    <row r="32" spans="1:7" x14ac:dyDescent="0.25">
      <c r="A32" t="s">
        <v>32</v>
      </c>
      <c r="B32" s="4">
        <v>1.5964743030478463</v>
      </c>
      <c r="D32" s="3">
        <v>0.98667383008224996</v>
      </c>
      <c r="E32" s="3">
        <v>1.3326169917750029E-2</v>
      </c>
      <c r="F32" s="3">
        <v>0</v>
      </c>
      <c r="G32" s="3">
        <v>0</v>
      </c>
    </row>
    <row r="33" spans="1:7" x14ac:dyDescent="0.25">
      <c r="A33" t="s">
        <v>33</v>
      </c>
      <c r="B33" s="4">
        <v>0.70986624433125767</v>
      </c>
      <c r="D33" s="3">
        <v>1</v>
      </c>
      <c r="E33" s="3">
        <v>0</v>
      </c>
      <c r="F33" s="3">
        <v>0</v>
      </c>
      <c r="G33" s="3">
        <v>0</v>
      </c>
    </row>
    <row r="34" spans="1:7" x14ac:dyDescent="0.25">
      <c r="A34" t="s">
        <v>34</v>
      </c>
      <c r="B34" s="4">
        <v>1.4252803597734447</v>
      </c>
      <c r="D34" s="3">
        <v>0.98420810145323856</v>
      </c>
      <c r="E34" s="3">
        <v>1.9163579637549236E-3</v>
      </c>
      <c r="F34" s="3">
        <v>1.3875540583006451E-2</v>
      </c>
      <c r="G34" s="3">
        <v>0</v>
      </c>
    </row>
    <row r="35" spans="1:7" x14ac:dyDescent="0.25">
      <c r="A35" t="s">
        <v>35</v>
      </c>
      <c r="B35" s="4">
        <v>1.4119275547107097</v>
      </c>
      <c r="D35" s="3">
        <v>0.38886663271759242</v>
      </c>
      <c r="E35" s="3">
        <v>0.40681484701702825</v>
      </c>
      <c r="F35" s="3">
        <v>0.13699065602287705</v>
      </c>
      <c r="G35" s="3">
        <v>6.7327864242502422E-2</v>
      </c>
    </row>
    <row r="36" spans="1:7" x14ac:dyDescent="0.25">
      <c r="A36" t="s">
        <v>36</v>
      </c>
      <c r="B36" s="4">
        <v>1.3406546503065464</v>
      </c>
      <c r="D36" s="3">
        <v>0.57168075668814011</v>
      </c>
      <c r="E36" s="3">
        <v>0.37182634203150244</v>
      </c>
      <c r="F36" s="3">
        <v>5.6492901280357478E-2</v>
      </c>
      <c r="G36" s="3">
        <v>0</v>
      </c>
    </row>
    <row r="37" spans="1:7" x14ac:dyDescent="0.25">
      <c r="A37" t="s">
        <v>37</v>
      </c>
      <c r="B37" s="4">
        <v>0.97682773610393225</v>
      </c>
      <c r="D37" s="3">
        <v>0.99600822203915296</v>
      </c>
      <c r="E37" s="3">
        <v>0</v>
      </c>
      <c r="F37" s="3">
        <v>3.9917779608470202E-3</v>
      </c>
      <c r="G37" s="3">
        <v>0</v>
      </c>
    </row>
    <row r="38" spans="1:7" x14ac:dyDescent="0.25">
      <c r="A38" t="s">
        <v>38</v>
      </c>
      <c r="B38" s="4">
        <v>0.83056191145451774</v>
      </c>
      <c r="D38" s="3">
        <v>0.97128029649243941</v>
      </c>
      <c r="E38" s="3">
        <v>0</v>
      </c>
      <c r="F38" s="3">
        <v>2.8719703507560611E-2</v>
      </c>
      <c r="G38" s="3">
        <v>0</v>
      </c>
    </row>
    <row r="39" spans="1:7" x14ac:dyDescent="0.25">
      <c r="A39" t="s">
        <v>39</v>
      </c>
      <c r="B39" s="4">
        <v>1.2822631675513994</v>
      </c>
      <c r="D39" s="3">
        <v>1</v>
      </c>
      <c r="E39" s="3">
        <v>0</v>
      </c>
      <c r="F39" s="3">
        <v>0</v>
      </c>
      <c r="G39" s="3">
        <v>0</v>
      </c>
    </row>
    <row r="40" spans="1:7" x14ac:dyDescent="0.25">
      <c r="A40" t="s">
        <v>40</v>
      </c>
      <c r="B40" s="4">
        <v>1.3992224837665463</v>
      </c>
      <c r="D40" s="3">
        <v>0.97845333896084641</v>
      </c>
      <c r="E40" s="3">
        <v>1.4373051290934377E-2</v>
      </c>
      <c r="F40" s="3">
        <v>7.173609748219182E-3</v>
      </c>
      <c r="G40" s="3">
        <v>0</v>
      </c>
    </row>
    <row r="41" spans="1:7" x14ac:dyDescent="0.25">
      <c r="A41" t="s">
        <v>41</v>
      </c>
      <c r="B41" s="4">
        <v>2.1317776789853871</v>
      </c>
      <c r="D41" s="3">
        <v>0.67093813090823362</v>
      </c>
      <c r="E41" s="3">
        <v>0.25484931182702009</v>
      </c>
      <c r="F41" s="3">
        <v>3.6974162928271791E-2</v>
      </c>
      <c r="G41" s="3">
        <v>3.7238394336474641E-2</v>
      </c>
    </row>
    <row r="42" spans="1:7" x14ac:dyDescent="0.25">
      <c r="A42" t="s">
        <v>42</v>
      </c>
      <c r="B42" s="4">
        <v>2.4571204142842937</v>
      </c>
      <c r="D42" s="3">
        <v>0.47603451079492332</v>
      </c>
      <c r="E42" s="3">
        <v>0.38296780909947836</v>
      </c>
      <c r="F42" s="3">
        <v>9.8566079874120069E-2</v>
      </c>
      <c r="G42" s="3">
        <v>4.2431600231478364E-2</v>
      </c>
    </row>
    <row r="43" spans="1:7" x14ac:dyDescent="0.25">
      <c r="A43" t="s">
        <v>43</v>
      </c>
      <c r="B43" s="4">
        <v>2.5036020371966461</v>
      </c>
      <c r="D43" s="3">
        <v>0.49841674453278378</v>
      </c>
      <c r="E43" s="3">
        <v>0.35765697552549469</v>
      </c>
      <c r="F43" s="3">
        <v>0.10600588890466196</v>
      </c>
      <c r="G43" s="3">
        <v>3.7920391037059471E-2</v>
      </c>
    </row>
    <row r="44" spans="1:7" x14ac:dyDescent="0.25">
      <c r="A44" t="s">
        <v>44</v>
      </c>
      <c r="B44" s="4">
        <v>1.7197711184839597</v>
      </c>
      <c r="D44" s="3">
        <v>0.8236063944648957</v>
      </c>
      <c r="E44" s="3">
        <v>0.10898505271206581</v>
      </c>
      <c r="F44" s="3">
        <v>6.7408552823038398E-2</v>
      </c>
      <c r="G44" s="3">
        <v>0</v>
      </c>
    </row>
    <row r="45" spans="1:7" x14ac:dyDescent="0.25">
      <c r="A45" t="s">
        <v>45</v>
      </c>
      <c r="B45" s="4">
        <v>0.81119718261875184</v>
      </c>
      <c r="D45" s="3">
        <v>0.9794712164744146</v>
      </c>
      <c r="E45" s="3">
        <v>9.0069730850336738E-4</v>
      </c>
      <c r="F45" s="3">
        <v>1.9628086217082147E-2</v>
      </c>
      <c r="G45" s="3">
        <v>0</v>
      </c>
    </row>
    <row r="46" spans="1:7" x14ac:dyDescent="0.25">
      <c r="A46" t="s">
        <v>46</v>
      </c>
      <c r="B46" s="4">
        <v>1.4013299261337575</v>
      </c>
      <c r="D46" s="3">
        <v>0.97965819837905865</v>
      </c>
      <c r="E46" s="3">
        <v>2.0341801620941315E-2</v>
      </c>
      <c r="F46" s="3">
        <v>0</v>
      </c>
      <c r="G46" s="3">
        <v>0</v>
      </c>
    </row>
    <row r="47" spans="1:7" x14ac:dyDescent="0.25">
      <c r="A47" s="5" t="s">
        <v>47</v>
      </c>
      <c r="B47" s="4">
        <v>1.5697074246266141</v>
      </c>
      <c r="D47" s="3">
        <v>0.30329445724416282</v>
      </c>
      <c r="E47" s="3">
        <v>0.6129456687036916</v>
      </c>
      <c r="F47" s="3">
        <v>5.7330993726704853E-2</v>
      </c>
      <c r="G47" s="3">
        <v>2.6428880325440659E-2</v>
      </c>
    </row>
    <row r="48" spans="1:7" x14ac:dyDescent="0.25">
      <c r="A48" t="s">
        <v>48</v>
      </c>
      <c r="B48" s="4">
        <v>1.569391499023874</v>
      </c>
      <c r="D48" s="3">
        <v>1</v>
      </c>
      <c r="E48" s="3">
        <v>0</v>
      </c>
      <c r="F48" s="3">
        <v>0</v>
      </c>
      <c r="G48" s="3">
        <v>0</v>
      </c>
    </row>
    <row r="49" spans="1:7" x14ac:dyDescent="0.25">
      <c r="A49" t="s">
        <v>52</v>
      </c>
      <c r="B49" s="4">
        <v>1</v>
      </c>
      <c r="D49" s="3">
        <v>0.30349041342503336</v>
      </c>
      <c r="E49" s="3">
        <v>0.53773882903357018</v>
      </c>
      <c r="F49" s="3">
        <v>0.12464562092952043</v>
      </c>
      <c r="G49" s="3">
        <v>3.4125136611876029E-2</v>
      </c>
    </row>
    <row r="53" spans="1:7" x14ac:dyDescent="0.25">
      <c r="A53" t="s">
        <v>53</v>
      </c>
      <c r="B53" s="4">
        <v>0</v>
      </c>
    </row>
    <row r="55" spans="1:7" x14ac:dyDescent="0.25">
      <c r="A55" t="s">
        <v>49</v>
      </c>
      <c r="B55" s="4">
        <v>0.79508472325476909</v>
      </c>
      <c r="D55" s="3">
        <v>0.31627630952408098</v>
      </c>
      <c r="E55" s="3">
        <v>0.53958168084831504</v>
      </c>
      <c r="F55" s="3">
        <v>0.11514430919938214</v>
      </c>
      <c r="G55" s="3">
        <v>2.8997700428221865E-2</v>
      </c>
    </row>
    <row r="56" spans="1:7" x14ac:dyDescent="0.25">
      <c r="A56" t="s">
        <v>49</v>
      </c>
      <c r="B56" s="4">
        <v>0.93091578602026503</v>
      </c>
      <c r="D56" s="3">
        <v>0.30118156424638476</v>
      </c>
      <c r="E56" s="3">
        <v>0.53493157488943288</v>
      </c>
      <c r="F56" s="3">
        <v>0.12627475538688945</v>
      </c>
      <c r="G56" s="3">
        <v>3.7612105477292851E-2</v>
      </c>
    </row>
    <row r="57" spans="1:7" x14ac:dyDescent="0.25">
      <c r="A57" t="s">
        <v>49</v>
      </c>
      <c r="B57" s="4">
        <v>1.2665362467169838</v>
      </c>
      <c r="D57" s="3">
        <v>0.29746582170214414</v>
      </c>
      <c r="E57" s="3">
        <v>0.53869444652439946</v>
      </c>
      <c r="F57" s="3">
        <v>0.1291863752167251</v>
      </c>
      <c r="G57" s="3">
        <v>3.4653356556731331E-2</v>
      </c>
    </row>
  </sheetData>
  <conditionalFormatting sqref="D3:D49 D55:D57">
    <cfRule type="colorScale" priority="53">
      <colorScale>
        <cfvo type="min"/>
        <cfvo type="max"/>
        <color rgb="FFFCFCFF"/>
        <color rgb="FF63BE7B"/>
      </colorScale>
    </cfRule>
  </conditionalFormatting>
  <conditionalFormatting sqref="E3:E49 E55:E57">
    <cfRule type="colorScale" priority="55">
      <colorScale>
        <cfvo type="min"/>
        <cfvo type="max"/>
        <color theme="0"/>
        <color theme="7"/>
      </colorScale>
    </cfRule>
  </conditionalFormatting>
  <conditionalFormatting sqref="F3:F49 F55:F57">
    <cfRule type="colorScale" priority="57">
      <colorScale>
        <cfvo type="min"/>
        <cfvo type="max"/>
        <color theme="0"/>
        <color theme="5"/>
      </colorScale>
    </cfRule>
  </conditionalFormatting>
  <conditionalFormatting sqref="G3:G49 G55:G57">
    <cfRule type="colorScale" priority="59">
      <colorScale>
        <cfvo type="min"/>
        <cfvo type="max"/>
        <color theme="0"/>
        <color theme="4"/>
      </colorScale>
    </cfRule>
  </conditionalFormatting>
  <conditionalFormatting sqref="B3:B49 B53 B55:B57">
    <cfRule type="colorScale" priority="60">
      <colorScale>
        <cfvo type="min"/>
        <cfvo type="max"/>
        <color theme="0"/>
        <color theme="1" tint="0.499984740745262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variants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ajevy</dc:creator>
  <cp:lastModifiedBy>ajevy</cp:lastModifiedBy>
  <dcterms:created xsi:type="dcterms:W3CDTF">2023-08-25T09:48:50Z</dcterms:created>
  <dcterms:modified xsi:type="dcterms:W3CDTF">2024-08-30T15:48:44Z</dcterms:modified>
</cp:coreProperties>
</file>