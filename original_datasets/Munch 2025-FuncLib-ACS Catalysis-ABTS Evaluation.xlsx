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13_ncr:1_{E8231AF9-F602-462A-A58F-B925C8E8CD43}" xr6:coauthVersionLast="47" xr6:coauthVersionMax="47" xr10:uidLastSave="{00000000-0000-0000-0000-000000000000}"/>
  <bookViews>
    <workbookView xWindow="-120" yWindow="-120" windowWidth="38640" windowHeight="21240" xr2:uid="{5F8E4112-36D1-410E-B006-251D0CD96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" i="1" l="1"/>
  <c r="B99" i="1"/>
  <c r="D2" i="1" s="1"/>
  <c r="D89" i="1" l="1"/>
  <c r="D87" i="1"/>
  <c r="D79" i="1"/>
  <c r="D77" i="1"/>
  <c r="D75" i="1"/>
  <c r="D68" i="1"/>
  <c r="D66" i="1"/>
  <c r="D63" i="1"/>
  <c r="D56" i="1"/>
  <c r="D54" i="1"/>
  <c r="D52" i="1"/>
  <c r="D44" i="1"/>
  <c r="D42" i="1"/>
  <c r="D40" i="1"/>
  <c r="D38" i="1"/>
  <c r="D31" i="1"/>
  <c r="D29" i="1"/>
  <c r="D27" i="1"/>
  <c r="D20" i="1"/>
  <c r="D18" i="1"/>
  <c r="D16" i="1"/>
  <c r="D14" i="1"/>
  <c r="D7" i="1"/>
  <c r="D4" i="1"/>
  <c r="D91" i="1"/>
  <c r="D88" i="1"/>
  <c r="D86" i="1"/>
  <c r="D78" i="1"/>
  <c r="D76" i="1"/>
  <c r="D74" i="1"/>
  <c r="D67" i="1"/>
  <c r="D64" i="1"/>
  <c r="D62" i="1"/>
  <c r="D55" i="1"/>
  <c r="D53" i="1"/>
  <c r="D50" i="1"/>
  <c r="D43" i="1"/>
  <c r="D41" i="1"/>
  <c r="D39" i="1"/>
  <c r="D32" i="1"/>
  <c r="D30" i="1"/>
  <c r="D28" i="1"/>
  <c r="D26" i="1"/>
  <c r="D19" i="1"/>
  <c r="D17" i="1"/>
  <c r="D15" i="1"/>
  <c r="D8" i="1"/>
  <c r="D5" i="1"/>
</calcChain>
</file>

<file path=xl/sharedStrings.xml><?xml version="1.0" encoding="utf-8"?>
<sst xmlns="http://schemas.openxmlformats.org/spreadsheetml/2006/main" count="225" uniqueCount="164">
  <si>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</si>
  <si>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</si>
  <si>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</si>
  <si>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</si>
  <si>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</si>
  <si>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</si>
  <si>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</si>
  <si>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</si>
  <si>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</si>
  <si>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</si>
  <si>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</si>
  <si>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</si>
  <si>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</si>
  <si>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</si>
  <si>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</si>
  <si>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</si>
  <si>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</si>
  <si>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</si>
  <si>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</si>
  <si>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</si>
  <si>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</si>
  <si>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</si>
  <si>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</si>
  <si>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</si>
  <si>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</si>
  <si>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</si>
  <si>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</si>
  <si>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</si>
  <si>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</si>
  <si>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</si>
  <si>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</si>
  <si>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</si>
  <si>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</si>
  <si>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</si>
  <si>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</si>
  <si>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</si>
  <si>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</si>
  <si>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</si>
  <si>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</si>
  <si>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</si>
  <si>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</si>
  <si>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</si>
  <si>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</si>
  <si>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</si>
  <si>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</si>
  <si>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</si>
  <si>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</si>
  <si>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</si>
  <si>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</si>
  <si>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</si>
  <si>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</si>
  <si>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</si>
  <si>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</si>
  <si>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</si>
  <si>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</si>
  <si>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</si>
  <si>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</si>
  <si>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</si>
  <si>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</si>
  <si>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</si>
  <si>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</si>
  <si>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</si>
  <si>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</si>
  <si>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</si>
  <si>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</si>
  <si>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</si>
  <si>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</si>
  <si>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</si>
  <si>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</si>
  <si>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</si>
  <si>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</si>
  <si>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</si>
  <si>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</si>
  <si>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</si>
  <si>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</si>
  <si>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</si>
  <si>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</si>
  <si>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</si>
  <si>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</si>
  <si>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</si>
  <si>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</si>
  <si>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</si>
  <si>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</si>
  <si>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</si>
  <si>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</si>
  <si>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</si>
  <si>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</si>
  <si>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</si>
  <si>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</si>
  <si>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</si>
  <si>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</si>
  <si>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</si>
  <si>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</si>
  <si>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</si>
  <si>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</si>
  <si>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</si>
  <si>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wt MW</t>
  </si>
  <si>
    <t>wt</t>
  </si>
  <si>
    <t>Absorpition value at 5min-0min</t>
  </si>
  <si>
    <t>Value in column B - wild type reactivity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</si>
  <si>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</si>
  <si>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</si>
  <si>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</si>
  <si>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</si>
  <si>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</si>
  <si>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</si>
  <si>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</si>
  <si>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</si>
  <si>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</si>
  <si>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</si>
  <si>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</si>
  <si>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</si>
  <si>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</si>
  <si>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</si>
  <si>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</si>
  <si>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</si>
  <si>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</si>
  <si>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</si>
  <si>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</si>
  <si>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</si>
  <si>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</si>
  <si>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</si>
  <si>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</si>
  <si>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</si>
  <si>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</si>
  <si>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</si>
  <si>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</si>
  <si>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</si>
  <si>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</si>
  <si>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</si>
  <si>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</si>
  <si>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</si>
  <si>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</si>
  <si>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</si>
  <si>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</si>
  <si>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</si>
  <si>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</si>
  <si>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</si>
  <si>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</si>
  <si>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</si>
  <si>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</si>
  <si>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</si>
  <si>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</si>
  <si>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</si>
  <si>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</si>
  <si>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</si>
  <si>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</si>
  <si>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</si>
  <si>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</si>
  <si>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</si>
  <si>
    <t>Design</t>
  </si>
  <si>
    <t>Comparison to wild type activity</t>
  </si>
  <si>
    <t>Plate Scheme</t>
  </si>
  <si>
    <t>A</t>
  </si>
  <si>
    <t xml:space="preserve">Design 41 </t>
  </si>
  <si>
    <t>empty</t>
  </si>
  <si>
    <t>B</t>
  </si>
  <si>
    <t>C</t>
  </si>
  <si>
    <t>D</t>
  </si>
  <si>
    <t>E</t>
  </si>
  <si>
    <t>F</t>
  </si>
  <si>
    <t>G</t>
  </si>
  <si>
    <t>LV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</si>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</sst>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058F-512B-47AB-8AF8-D1F3E5D67872}">
  <dimension ref="A1:R100"/>
  <sheetViews>
    <sheetView tabSelected="1" workbookViewId="0">
      <selection activeCell="Q52" sqref="Q2:Q52"/>
    </sheetView>
  </sheetViews>
  <sheetFormatPr defaultRowHeight="15" x14ac:dyDescent="0.25"/>
  <cols>
    <col min="2" max="2" width="21.7109375" customWidth="1"/>
    <col min="4" max="4" width="19.42578125" customWidth="1"/>
    <col min="17" max="17" width="21.85546875" customWidth="1"/>
    <col min="18" max="18" width="10.5703125" bestFit="1" customWidth="1"/>
  </cols>
  <sheetData>
    <row r="1" spans="1:18" ht="30" x14ac:dyDescent="0.25">
      <c r="A1" s="5"/>
      <c r="B1" s="4" t="s">
        <v>98</v>
      </c>
      <c r="C1" s="5"/>
      <c r="D1" s="4" t="s">
        <v>99</v>
      </c>
      <c r="P1" s="4" t="s">
        <v>150</v>
      </c>
      <c r="Q1" s="4" t="s">
        <v>151</v>
      </c>
    </row>
    <row r="2" spans="1:18" x14ac:dyDescent="0.25">
      <c r="A2" s="1" t="s">
        <v>0</v>
      </c>
      <c r="B2">
        <v>1.8599999999999992E-2</v>
      </c>
      <c r="D2" s="2">
        <f>B2/$B$99</f>
        <v>24.000000000000053</v>
      </c>
      <c r="F2" s="3" t="s">
        <v>152</v>
      </c>
      <c r="P2" t="s">
        <v>100</v>
      </c>
      <c r="Q2" s="2">
        <v>24.000000000000053</v>
      </c>
      <c r="R2" s="2"/>
    </row>
    <row r="3" spans="1:18" x14ac:dyDescent="0.25">
      <c r="A3" s="1" t="s">
        <v>1</v>
      </c>
      <c r="B3">
        <v>-8.9999999999999802E-4</v>
      </c>
      <c r="D3" s="2">
        <v>0</v>
      </c>
      <c r="G3" s="3">
        <v>1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>
        <v>8</v>
      </c>
      <c r="O3" s="3"/>
      <c r="P3" t="s">
        <v>101</v>
      </c>
      <c r="Q3" s="2">
        <v>2.8387096774193723</v>
      </c>
      <c r="R3" s="2"/>
    </row>
    <row r="4" spans="1:18" x14ac:dyDescent="0.25">
      <c r="A4" s="1" t="s">
        <v>2</v>
      </c>
      <c r="B4">
        <v>5.1999999999999963E-3</v>
      </c>
      <c r="D4" s="2">
        <f t="shared" ref="D4:D66" si="0">B4/$B$99</f>
        <v>6.7096774193548523</v>
      </c>
      <c r="F4" s="3" t="s">
        <v>153</v>
      </c>
      <c r="G4" t="s">
        <v>100</v>
      </c>
      <c r="H4" t="s">
        <v>108</v>
      </c>
      <c r="I4" t="s">
        <v>116</v>
      </c>
      <c r="J4" t="s">
        <v>124</v>
      </c>
      <c r="K4" t="s">
        <v>132</v>
      </c>
      <c r="L4" t="s">
        <v>154</v>
      </c>
      <c r="M4" t="s">
        <v>147</v>
      </c>
      <c r="N4" t="s">
        <v>155</v>
      </c>
      <c r="P4" t="s">
        <v>102</v>
      </c>
      <c r="Q4" s="2">
        <v>1880.2580645161343</v>
      </c>
      <c r="R4" s="2"/>
    </row>
    <row r="5" spans="1:18" x14ac:dyDescent="0.25">
      <c r="A5" s="1" t="s">
        <v>3</v>
      </c>
      <c r="B5">
        <v>7.0999999999999952E-3</v>
      </c>
      <c r="D5" s="2">
        <f t="shared" si="0"/>
        <v>9.1612903225806637</v>
      </c>
      <c r="F5" s="3" t="s">
        <v>156</v>
      </c>
      <c r="G5" t="s">
        <v>101</v>
      </c>
      <c r="H5" t="s">
        <v>109</v>
      </c>
      <c r="I5" t="s">
        <v>117</v>
      </c>
      <c r="J5" t="s">
        <v>125</v>
      </c>
      <c r="K5" t="s">
        <v>133</v>
      </c>
      <c r="L5" t="s">
        <v>141</v>
      </c>
      <c r="M5" t="s">
        <v>149</v>
      </c>
      <c r="N5" t="s">
        <v>155</v>
      </c>
      <c r="P5" t="s">
        <v>103</v>
      </c>
      <c r="Q5" s="2">
        <v>1296.2580645161324</v>
      </c>
      <c r="R5" s="2"/>
    </row>
    <row r="6" spans="1:18" x14ac:dyDescent="0.25">
      <c r="A6" s="1" t="s">
        <v>4</v>
      </c>
      <c r="B6">
        <v>-3.9999999999999758E-4</v>
      </c>
      <c r="D6" s="2">
        <v>0</v>
      </c>
      <c r="F6" s="3" t="s">
        <v>157</v>
      </c>
      <c r="G6" t="s">
        <v>102</v>
      </c>
      <c r="H6" t="s">
        <v>110</v>
      </c>
      <c r="I6" t="s">
        <v>118</v>
      </c>
      <c r="J6" t="s">
        <v>126</v>
      </c>
      <c r="K6" t="s">
        <v>134</v>
      </c>
      <c r="L6" t="s">
        <v>142</v>
      </c>
      <c r="M6" t="s">
        <v>97</v>
      </c>
      <c r="N6" t="s">
        <v>155</v>
      </c>
      <c r="P6" t="s">
        <v>104</v>
      </c>
      <c r="Q6" s="2">
        <v>1.9354838709677489</v>
      </c>
      <c r="R6" s="2"/>
    </row>
    <row r="7" spans="1:18" x14ac:dyDescent="0.25">
      <c r="A7" s="1" t="s">
        <v>5</v>
      </c>
      <c r="B7">
        <v>1.4899999999999997E-2</v>
      </c>
      <c r="D7" s="2">
        <f t="shared" si="0"/>
        <v>19.22580645161295</v>
      </c>
      <c r="F7" s="3" t="s">
        <v>158</v>
      </c>
      <c r="G7" t="s">
        <v>103</v>
      </c>
      <c r="H7" t="s">
        <v>111</v>
      </c>
      <c r="I7" t="s">
        <v>119</v>
      </c>
      <c r="J7" t="s">
        <v>127</v>
      </c>
      <c r="K7" t="s">
        <v>135</v>
      </c>
      <c r="L7" t="s">
        <v>143</v>
      </c>
      <c r="M7" t="s">
        <v>97</v>
      </c>
      <c r="N7" t="s">
        <v>155</v>
      </c>
      <c r="P7" t="s">
        <v>105</v>
      </c>
      <c r="Q7" s="2">
        <v>2.1935483870967714</v>
      </c>
      <c r="R7" s="2"/>
    </row>
    <row r="8" spans="1:18" x14ac:dyDescent="0.25">
      <c r="A8" s="1" t="s">
        <v>6</v>
      </c>
      <c r="B8">
        <v>0.83199999999999996</v>
      </c>
      <c r="D8" s="2">
        <f t="shared" si="0"/>
        <v>1073.5483870967771</v>
      </c>
      <c r="F8" s="3" t="s">
        <v>159</v>
      </c>
      <c r="G8" t="s">
        <v>104</v>
      </c>
      <c r="H8" t="s">
        <v>112</v>
      </c>
      <c r="I8" t="s">
        <v>120</v>
      </c>
      <c r="J8" t="s">
        <v>128</v>
      </c>
      <c r="K8" t="s">
        <v>136</v>
      </c>
      <c r="L8" t="s">
        <v>144</v>
      </c>
      <c r="M8" t="s">
        <v>97</v>
      </c>
      <c r="N8" t="s">
        <v>155</v>
      </c>
      <c r="P8" t="s">
        <v>106</v>
      </c>
      <c r="Q8" s="2">
        <v>1188.5161290322612</v>
      </c>
      <c r="R8" s="2"/>
    </row>
    <row r="9" spans="1:18" x14ac:dyDescent="0.25">
      <c r="A9" s="1" t="s">
        <v>7</v>
      </c>
      <c r="B9">
        <v>-4.0000000000000036E-3</v>
      </c>
      <c r="D9" s="2">
        <v>0</v>
      </c>
      <c r="F9" s="3" t="s">
        <v>160</v>
      </c>
      <c r="G9" t="s">
        <v>105</v>
      </c>
      <c r="H9" t="s">
        <v>113</v>
      </c>
      <c r="I9" t="s">
        <v>121</v>
      </c>
      <c r="J9" t="s">
        <v>129</v>
      </c>
      <c r="K9" t="s">
        <v>137</v>
      </c>
      <c r="L9" t="s">
        <v>145</v>
      </c>
      <c r="M9" t="s">
        <v>97</v>
      </c>
      <c r="N9" t="s">
        <v>155</v>
      </c>
      <c r="P9" t="s">
        <v>107</v>
      </c>
      <c r="Q9" s="2">
        <v>4.6451612903226005</v>
      </c>
      <c r="R9" s="2"/>
    </row>
    <row r="10" spans="1:18" x14ac:dyDescent="0.25">
      <c r="A10" s="1" t="s">
        <v>8</v>
      </c>
      <c r="D10" s="2"/>
      <c r="F10" s="3" t="s">
        <v>161</v>
      </c>
      <c r="G10" t="s">
        <v>106</v>
      </c>
      <c r="H10" t="s">
        <v>114</v>
      </c>
      <c r="I10" t="s">
        <v>122</v>
      </c>
      <c r="J10" t="s">
        <v>130</v>
      </c>
      <c r="K10" t="s">
        <v>138</v>
      </c>
      <c r="L10" t="s">
        <v>146</v>
      </c>
      <c r="M10" t="s">
        <v>162</v>
      </c>
      <c r="N10" t="s">
        <v>155</v>
      </c>
      <c r="P10" t="s">
        <v>108</v>
      </c>
      <c r="Q10" s="2">
        <v>0</v>
      </c>
      <c r="R10" s="2"/>
    </row>
    <row r="11" spans="1:18" x14ac:dyDescent="0.25">
      <c r="A11" s="1" t="s">
        <v>9</v>
      </c>
      <c r="D11" s="2"/>
      <c r="F11" s="3" t="s">
        <v>163</v>
      </c>
      <c r="G11" t="s">
        <v>107</v>
      </c>
      <c r="H11" t="s">
        <v>115</v>
      </c>
      <c r="I11" t="s">
        <v>123</v>
      </c>
      <c r="J11" t="s">
        <v>131</v>
      </c>
      <c r="K11" t="s">
        <v>139</v>
      </c>
      <c r="L11" t="s">
        <v>147</v>
      </c>
      <c r="M11" t="s">
        <v>162</v>
      </c>
      <c r="N11" t="s">
        <v>155</v>
      </c>
      <c r="P11" t="s">
        <v>109</v>
      </c>
      <c r="Q11" s="2">
        <v>6.0645161290322687</v>
      </c>
      <c r="R11" s="2"/>
    </row>
    <row r="12" spans="1:18" x14ac:dyDescent="0.25">
      <c r="A12" s="1" t="s">
        <v>10</v>
      </c>
      <c r="D12" s="2"/>
      <c r="P12" t="s">
        <v>110</v>
      </c>
      <c r="Q12" s="2">
        <v>72.903225806451815</v>
      </c>
      <c r="R12" s="2"/>
    </row>
    <row r="13" spans="1:18" x14ac:dyDescent="0.25">
      <c r="A13" s="1" t="s">
        <v>11</v>
      </c>
      <c r="D13" s="2"/>
      <c r="P13" t="s">
        <v>111</v>
      </c>
      <c r="Q13" s="2">
        <v>2.3225806451612914</v>
      </c>
      <c r="R13" s="2"/>
    </row>
    <row r="14" spans="1:18" x14ac:dyDescent="0.25">
      <c r="A14" s="1" t="s">
        <v>12</v>
      </c>
      <c r="B14">
        <v>2.2000000000000075E-3</v>
      </c>
      <c r="D14" s="2">
        <f t="shared" si="0"/>
        <v>2.8387096774193723</v>
      </c>
      <c r="P14" t="s">
        <v>112</v>
      </c>
      <c r="Q14" s="2">
        <v>0</v>
      </c>
      <c r="R14" s="2"/>
    </row>
    <row r="15" spans="1:18" x14ac:dyDescent="0.25">
      <c r="A15" s="1" t="s">
        <v>13</v>
      </c>
      <c r="B15">
        <v>4.6999999999999958E-3</v>
      </c>
      <c r="D15" s="2">
        <f t="shared" si="0"/>
        <v>6.0645161290322687</v>
      </c>
      <c r="P15" t="s">
        <v>113</v>
      </c>
      <c r="Q15" s="2">
        <v>19.612903225806512</v>
      </c>
      <c r="R15" s="2"/>
    </row>
    <row r="16" spans="1:18" x14ac:dyDescent="0.25">
      <c r="A16" s="1" t="s">
        <v>14</v>
      </c>
      <c r="B16">
        <v>1.7000000000000001E-3</v>
      </c>
      <c r="D16" s="2">
        <f t="shared" si="0"/>
        <v>2.1935483870967802</v>
      </c>
      <c r="P16" t="s">
        <v>114</v>
      </c>
      <c r="Q16" s="2">
        <v>36.129032258064626</v>
      </c>
      <c r="R16" s="2"/>
    </row>
    <row r="17" spans="1:18" x14ac:dyDescent="0.25">
      <c r="A17" s="1" t="s">
        <v>15</v>
      </c>
      <c r="B17">
        <v>6.8999999999999895E-3</v>
      </c>
      <c r="D17" s="2">
        <f t="shared" si="0"/>
        <v>8.9032258064516228</v>
      </c>
      <c r="P17" t="s">
        <v>115</v>
      </c>
      <c r="Q17" s="2">
        <v>17.677419354838761</v>
      </c>
      <c r="R17" s="2"/>
    </row>
    <row r="18" spans="1:18" x14ac:dyDescent="0.25">
      <c r="A18" s="1" t="s">
        <v>16</v>
      </c>
      <c r="B18">
        <v>0.12759999999999999</v>
      </c>
      <c r="D18" s="2">
        <f t="shared" si="0"/>
        <v>164.64516129032302</v>
      </c>
      <c r="P18" t="s">
        <v>116</v>
      </c>
      <c r="Q18" s="2">
        <v>6.7096774193548523</v>
      </c>
      <c r="R18" s="2"/>
    </row>
    <row r="19" spans="1:18" x14ac:dyDescent="0.25">
      <c r="A19" s="1" t="s">
        <v>17</v>
      </c>
      <c r="B19">
        <v>0.62519999999999998</v>
      </c>
      <c r="D19" s="2">
        <f t="shared" si="0"/>
        <v>806.70967741935704</v>
      </c>
      <c r="P19" t="s">
        <v>117</v>
      </c>
      <c r="Q19" s="2">
        <v>2.1935483870967802</v>
      </c>
      <c r="R19" s="2"/>
    </row>
    <row r="20" spans="1:18" x14ac:dyDescent="0.25">
      <c r="A20" s="1" t="s">
        <v>18</v>
      </c>
      <c r="B20">
        <v>7.3000000000000009E-3</v>
      </c>
      <c r="D20" s="2">
        <f t="shared" si="0"/>
        <v>9.4193548387097046</v>
      </c>
      <c r="P20" t="s">
        <v>118</v>
      </c>
      <c r="Q20" s="2">
        <v>10.32258064516131</v>
      </c>
      <c r="R20" s="2"/>
    </row>
    <row r="21" spans="1:18" x14ac:dyDescent="0.25">
      <c r="A21" s="1" t="s">
        <v>19</v>
      </c>
      <c r="B21">
        <v>-4.0999999999999925E-3</v>
      </c>
      <c r="D21" s="2">
        <v>0</v>
      </c>
      <c r="P21" t="s">
        <v>119</v>
      </c>
      <c r="Q21" s="2">
        <v>1.4193548387096682</v>
      </c>
      <c r="R21" s="2"/>
    </row>
    <row r="22" spans="1:18" x14ac:dyDescent="0.25">
      <c r="A22" s="1" t="s">
        <v>20</v>
      </c>
      <c r="D22" s="2"/>
      <c r="P22" t="s">
        <v>120</v>
      </c>
      <c r="Q22" s="2">
        <v>524.00000000000148</v>
      </c>
      <c r="R22" s="2"/>
    </row>
    <row r="23" spans="1:18" x14ac:dyDescent="0.25">
      <c r="A23" s="1" t="s">
        <v>21</v>
      </c>
      <c r="D23" s="2"/>
      <c r="P23" t="s">
        <v>121</v>
      </c>
      <c r="Q23" s="2">
        <v>9.0322580645161619</v>
      </c>
      <c r="R23" s="2"/>
    </row>
    <row r="24" spans="1:18" x14ac:dyDescent="0.25">
      <c r="A24" s="1" t="s">
        <v>22</v>
      </c>
      <c r="D24" s="2"/>
      <c r="P24" t="s">
        <v>122</v>
      </c>
      <c r="Q24" s="2">
        <v>314.32258064516213</v>
      </c>
      <c r="R24" s="2"/>
    </row>
    <row r="25" spans="1:18" x14ac:dyDescent="0.25">
      <c r="A25" s="1" t="s">
        <v>23</v>
      </c>
      <c r="D25" s="2"/>
      <c r="P25" t="s">
        <v>123</v>
      </c>
      <c r="Q25" s="2">
        <v>28.645161290322655</v>
      </c>
      <c r="R25" s="2"/>
    </row>
    <row r="26" spans="1:18" x14ac:dyDescent="0.25">
      <c r="A26" s="1" t="s">
        <v>24</v>
      </c>
      <c r="B26">
        <v>1.4572000000000001</v>
      </c>
      <c r="D26" s="2">
        <f t="shared" si="0"/>
        <v>1880.2580645161343</v>
      </c>
      <c r="P26" t="s">
        <v>124</v>
      </c>
      <c r="Q26" s="2">
        <v>9.1612903225806637</v>
      </c>
      <c r="R26" s="2"/>
    </row>
    <row r="27" spans="1:18" x14ac:dyDescent="0.25">
      <c r="A27" s="1" t="s">
        <v>25</v>
      </c>
      <c r="B27">
        <v>5.6500000000000009E-2</v>
      </c>
      <c r="D27" s="2">
        <f t="shared" si="0"/>
        <v>72.903225806451815</v>
      </c>
      <c r="P27" t="s">
        <v>125</v>
      </c>
      <c r="Q27" s="2">
        <v>8.9032258064516228</v>
      </c>
      <c r="R27" s="2"/>
    </row>
    <row r="28" spans="1:18" x14ac:dyDescent="0.25">
      <c r="A28" s="1" t="s">
        <v>26</v>
      </c>
      <c r="B28">
        <v>7.9999999999999932E-3</v>
      </c>
      <c r="D28" s="2">
        <f t="shared" si="0"/>
        <v>10.32258064516131</v>
      </c>
      <c r="P28" t="s">
        <v>126</v>
      </c>
      <c r="Q28" s="2">
        <v>657.54838709677585</v>
      </c>
      <c r="R28" s="2"/>
    </row>
    <row r="29" spans="1:18" x14ac:dyDescent="0.25">
      <c r="A29" s="1" t="s">
        <v>27</v>
      </c>
      <c r="B29">
        <v>0.50959999999999994</v>
      </c>
      <c r="D29" s="2">
        <f t="shared" si="0"/>
        <v>657.54838709677585</v>
      </c>
      <c r="P29" t="s">
        <v>127</v>
      </c>
      <c r="Q29" s="2">
        <v>1314.5806451612937</v>
      </c>
      <c r="R29" s="2"/>
    </row>
    <row r="30" spans="1:18" x14ac:dyDescent="0.25">
      <c r="A30" s="1" t="s">
        <v>28</v>
      </c>
      <c r="B30">
        <v>0.10269999999999999</v>
      </c>
      <c r="D30" s="2">
        <f t="shared" si="0"/>
        <v>132.51612903225839</v>
      </c>
      <c r="P30" t="s">
        <v>128</v>
      </c>
      <c r="Q30" s="2">
        <v>7.7419354838709955</v>
      </c>
      <c r="R30" s="2"/>
    </row>
    <row r="31" spans="1:18" x14ac:dyDescent="0.25">
      <c r="A31" s="1" t="s">
        <v>29</v>
      </c>
      <c r="B31">
        <v>1.7699999999999994E-2</v>
      </c>
      <c r="D31" s="2">
        <f t="shared" si="0"/>
        <v>22.838709677419409</v>
      </c>
      <c r="P31" t="s">
        <v>129</v>
      </c>
      <c r="Q31" s="2">
        <v>0</v>
      </c>
      <c r="R31" s="2"/>
    </row>
    <row r="32" spans="1:18" x14ac:dyDescent="0.25">
      <c r="A32" s="1" t="s">
        <v>30</v>
      </c>
      <c r="B32">
        <v>7.9999999999999516E-4</v>
      </c>
      <c r="D32" s="2">
        <f t="shared" si="0"/>
        <v>1.0322580645161257</v>
      </c>
      <c r="P32" t="s">
        <v>130</v>
      </c>
      <c r="Q32" s="2">
        <v>0.25806451612904036</v>
      </c>
      <c r="R32" s="2"/>
    </row>
    <row r="33" spans="1:18" x14ac:dyDescent="0.25">
      <c r="A33" s="1" t="s">
        <v>31</v>
      </c>
      <c r="B33">
        <v>-4.0000000000000036E-3</v>
      </c>
      <c r="D33" s="2">
        <v>0</v>
      </c>
      <c r="P33" t="s">
        <v>131</v>
      </c>
      <c r="Q33" s="2">
        <v>5.9354838709677669</v>
      </c>
      <c r="R33" s="2"/>
    </row>
    <row r="34" spans="1:18" x14ac:dyDescent="0.25">
      <c r="A34" s="1" t="s">
        <v>32</v>
      </c>
      <c r="D34" s="2"/>
      <c r="P34" t="s">
        <v>132</v>
      </c>
      <c r="Q34" s="2">
        <v>0</v>
      </c>
      <c r="R34" s="2"/>
    </row>
    <row r="35" spans="1:18" x14ac:dyDescent="0.25">
      <c r="A35" s="1" t="s">
        <v>33</v>
      </c>
      <c r="D35" s="2"/>
      <c r="P35" t="s">
        <v>133</v>
      </c>
      <c r="Q35" s="2">
        <v>164.64516129032302</v>
      </c>
      <c r="R35" s="2"/>
    </row>
    <row r="36" spans="1:18" x14ac:dyDescent="0.25">
      <c r="A36" s="1" t="s">
        <v>34</v>
      </c>
      <c r="D36" s="2"/>
      <c r="P36" t="s">
        <v>134</v>
      </c>
      <c r="Q36" s="2">
        <v>132.51612903225839</v>
      </c>
      <c r="R36" s="2"/>
    </row>
    <row r="37" spans="1:18" x14ac:dyDescent="0.25">
      <c r="A37" s="1" t="s">
        <v>35</v>
      </c>
      <c r="D37" s="2"/>
      <c r="P37" t="s">
        <v>135</v>
      </c>
      <c r="Q37" s="2">
        <v>45.419354838709793</v>
      </c>
      <c r="R37" s="2"/>
    </row>
    <row r="38" spans="1:18" x14ac:dyDescent="0.25">
      <c r="A38" s="1" t="s">
        <v>36</v>
      </c>
      <c r="B38">
        <v>1.0045999999999999</v>
      </c>
      <c r="D38" s="2">
        <f t="shared" si="0"/>
        <v>1296.2580645161324</v>
      </c>
      <c r="P38" t="s">
        <v>136</v>
      </c>
      <c r="Q38" s="2">
        <v>1618.5806451612946</v>
      </c>
      <c r="R38" s="2"/>
    </row>
    <row r="39" spans="1:18" x14ac:dyDescent="0.25">
      <c r="A39" s="1" t="s">
        <v>37</v>
      </c>
      <c r="B39">
        <v>1.799999999999996E-3</v>
      </c>
      <c r="D39" s="2">
        <f t="shared" si="0"/>
        <v>2.3225806451612914</v>
      </c>
      <c r="P39" t="s">
        <v>137</v>
      </c>
      <c r="Q39" s="2">
        <v>16.38709677419358</v>
      </c>
      <c r="R39" s="2"/>
    </row>
    <row r="40" spans="1:18" x14ac:dyDescent="0.25">
      <c r="A40" s="1" t="s">
        <v>38</v>
      </c>
      <c r="B40">
        <v>1.0999999999999899E-3</v>
      </c>
      <c r="D40" s="2">
        <f t="shared" si="0"/>
        <v>1.4193548387096682</v>
      </c>
      <c r="P40" t="s">
        <v>138</v>
      </c>
      <c r="Q40" s="2">
        <v>939.87096774193799</v>
      </c>
      <c r="R40" s="2"/>
    </row>
    <row r="41" spans="1:18" x14ac:dyDescent="0.25">
      <c r="A41" s="1" t="s">
        <v>39</v>
      </c>
      <c r="B41">
        <v>1.0187999999999999</v>
      </c>
      <c r="D41" s="2">
        <f t="shared" si="0"/>
        <v>1314.5806451612937</v>
      </c>
      <c r="P41" t="s">
        <v>139</v>
      </c>
      <c r="Q41" s="2">
        <v>0</v>
      </c>
      <c r="R41" s="2"/>
    </row>
    <row r="42" spans="1:18" x14ac:dyDescent="0.25">
      <c r="A42" s="1" t="s">
        <v>40</v>
      </c>
      <c r="B42">
        <v>3.5199999999999995E-2</v>
      </c>
      <c r="D42" s="2">
        <f t="shared" si="0"/>
        <v>45.419354838709793</v>
      </c>
      <c r="P42" t="s">
        <v>140</v>
      </c>
      <c r="Q42" s="2">
        <v>19.22580645161295</v>
      </c>
      <c r="R42" s="2"/>
    </row>
    <row r="43" spans="1:18" x14ac:dyDescent="0.25">
      <c r="A43" s="1" t="s">
        <v>41</v>
      </c>
      <c r="B43">
        <v>1.3141999999999998</v>
      </c>
      <c r="D43" s="2">
        <f t="shared" si="0"/>
        <v>1695.7419354838753</v>
      </c>
      <c r="P43" t="s">
        <v>141</v>
      </c>
      <c r="Q43" s="2">
        <v>806.70967741935704</v>
      </c>
      <c r="R43" s="2"/>
    </row>
    <row r="44" spans="1:18" x14ac:dyDescent="0.25">
      <c r="A44" s="1" t="s">
        <v>42</v>
      </c>
      <c r="B44">
        <v>7.9999999999999516E-4</v>
      </c>
      <c r="D44" s="2">
        <f t="shared" si="0"/>
        <v>1.0322580645161257</v>
      </c>
      <c r="P44" t="s">
        <v>142</v>
      </c>
      <c r="Q44" s="2">
        <v>22.838709677419409</v>
      </c>
      <c r="R44" s="2"/>
    </row>
    <row r="45" spans="1:18" x14ac:dyDescent="0.25">
      <c r="A45" s="1" t="s">
        <v>43</v>
      </c>
      <c r="B45">
        <v>-4.9999999999999975E-3</v>
      </c>
      <c r="D45" s="2">
        <v>0</v>
      </c>
      <c r="P45" t="s">
        <v>143</v>
      </c>
      <c r="Q45" s="2">
        <v>1695.7419354838753</v>
      </c>
      <c r="R45" s="2"/>
    </row>
    <row r="46" spans="1:18" x14ac:dyDescent="0.25">
      <c r="A46" s="1" t="s">
        <v>44</v>
      </c>
      <c r="B46">
        <v>0</v>
      </c>
      <c r="D46" s="2"/>
      <c r="P46" t="s">
        <v>144</v>
      </c>
      <c r="Q46" s="2">
        <v>116.6451612903229</v>
      </c>
      <c r="R46" s="2"/>
    </row>
    <row r="47" spans="1:18" x14ac:dyDescent="0.25">
      <c r="A47" s="1" t="s">
        <v>45</v>
      </c>
      <c r="B47">
        <v>0</v>
      </c>
      <c r="D47" s="2"/>
      <c r="P47" t="s">
        <v>145</v>
      </c>
      <c r="Q47" s="2">
        <v>17.161290322580701</v>
      </c>
      <c r="R47" s="2"/>
    </row>
    <row r="48" spans="1:18" x14ac:dyDescent="0.25">
      <c r="A48" s="1" t="s">
        <v>46</v>
      </c>
      <c r="B48">
        <v>0</v>
      </c>
      <c r="D48" s="2"/>
      <c r="P48" t="s">
        <v>146</v>
      </c>
      <c r="Q48" s="2">
        <v>1946.4516129032311</v>
      </c>
      <c r="R48" s="2"/>
    </row>
    <row r="49" spans="1:18" x14ac:dyDescent="0.25">
      <c r="A49" s="1" t="s">
        <v>47</v>
      </c>
      <c r="B49">
        <v>0</v>
      </c>
      <c r="D49" s="2"/>
      <c r="P49" t="s">
        <v>147</v>
      </c>
      <c r="Q49" s="2">
        <v>8.0000000000000178</v>
      </c>
      <c r="R49" s="2"/>
    </row>
    <row r="50" spans="1:18" x14ac:dyDescent="0.25">
      <c r="A50" s="1" t="s">
        <v>48</v>
      </c>
      <c r="B50">
        <v>1.5000000000000013E-3</v>
      </c>
      <c r="D50" s="2">
        <f t="shared" si="0"/>
        <v>1.9354838709677489</v>
      </c>
      <c r="P50" t="s">
        <v>148</v>
      </c>
      <c r="Q50" s="2">
        <v>1073.5483870967771</v>
      </c>
      <c r="R50" s="2"/>
    </row>
    <row r="51" spans="1:18" x14ac:dyDescent="0.25">
      <c r="A51" s="1" t="s">
        <v>49</v>
      </c>
      <c r="B51">
        <v>-3.2999999999999974E-3</v>
      </c>
      <c r="D51" s="2">
        <v>0</v>
      </c>
      <c r="P51" t="s">
        <v>149</v>
      </c>
      <c r="Q51" s="2">
        <v>9.4193548387097046</v>
      </c>
      <c r="R51" s="2"/>
    </row>
    <row r="52" spans="1:18" x14ac:dyDescent="0.25">
      <c r="A52" s="1" t="s">
        <v>50</v>
      </c>
      <c r="B52">
        <v>0.40610000000000002</v>
      </c>
      <c r="D52" s="2">
        <f t="shared" si="0"/>
        <v>524.00000000000148</v>
      </c>
      <c r="P52" t="s">
        <v>97</v>
      </c>
      <c r="Q52" s="2">
        <v>1</v>
      </c>
    </row>
    <row r="53" spans="1:18" x14ac:dyDescent="0.25">
      <c r="A53" s="1" t="s">
        <v>51</v>
      </c>
      <c r="B53">
        <v>6.0000000000000053E-3</v>
      </c>
      <c r="D53" s="2">
        <f t="shared" si="0"/>
        <v>7.7419354838709955</v>
      </c>
    </row>
    <row r="54" spans="1:18" x14ac:dyDescent="0.25">
      <c r="A54" s="1" t="s">
        <v>52</v>
      </c>
      <c r="B54">
        <v>1.2544</v>
      </c>
      <c r="D54" s="2">
        <f t="shared" si="0"/>
        <v>1618.5806451612946</v>
      </c>
    </row>
    <row r="55" spans="1:18" x14ac:dyDescent="0.25">
      <c r="A55" s="1" t="s">
        <v>53</v>
      </c>
      <c r="B55">
        <v>9.0400000000000008E-2</v>
      </c>
      <c r="D55" s="2">
        <f t="shared" si="0"/>
        <v>116.6451612903229</v>
      </c>
    </row>
    <row r="56" spans="1:18" x14ac:dyDescent="0.25">
      <c r="A56" s="1" t="s">
        <v>54</v>
      </c>
      <c r="B56">
        <v>1.0000000000000009E-3</v>
      </c>
      <c r="D56" s="2">
        <f t="shared" si="0"/>
        <v>1.2903225806451659</v>
      </c>
    </row>
    <row r="57" spans="1:18" x14ac:dyDescent="0.25">
      <c r="A57" s="1" t="s">
        <v>55</v>
      </c>
      <c r="B57">
        <v>-4.5999999999999999E-3</v>
      </c>
      <c r="D57" s="2">
        <v>0</v>
      </c>
    </row>
    <row r="58" spans="1:18" x14ac:dyDescent="0.25">
      <c r="A58" s="1" t="s">
        <v>56</v>
      </c>
      <c r="B58">
        <v>0</v>
      </c>
      <c r="D58" s="2"/>
    </row>
    <row r="59" spans="1:18" x14ac:dyDescent="0.25">
      <c r="A59" s="1" t="s">
        <v>57</v>
      </c>
      <c r="B59">
        <v>0</v>
      </c>
      <c r="D59" s="2"/>
    </row>
    <row r="60" spans="1:18" x14ac:dyDescent="0.25">
      <c r="A60" s="1" t="s">
        <v>58</v>
      </c>
      <c r="B60">
        <v>0</v>
      </c>
      <c r="D60" s="2"/>
    </row>
    <row r="61" spans="1:18" x14ac:dyDescent="0.25">
      <c r="A61" s="1" t="s">
        <v>59</v>
      </c>
      <c r="B61">
        <v>0</v>
      </c>
      <c r="D61" s="2"/>
    </row>
    <row r="62" spans="1:18" x14ac:dyDescent="0.25">
      <c r="A62" s="1" t="s">
        <v>60</v>
      </c>
      <c r="B62">
        <v>1.6999999999999932E-3</v>
      </c>
      <c r="D62" s="2">
        <f t="shared" si="0"/>
        <v>2.1935483870967714</v>
      </c>
    </row>
    <row r="63" spans="1:18" x14ac:dyDescent="0.25">
      <c r="A63" s="1" t="s">
        <v>61</v>
      </c>
      <c r="B63">
        <v>1.5200000000000005E-2</v>
      </c>
      <c r="D63" s="2">
        <f t="shared" si="0"/>
        <v>19.612903225806512</v>
      </c>
    </row>
    <row r="64" spans="1:18" x14ac:dyDescent="0.25">
      <c r="A64" s="1" t="s">
        <v>62</v>
      </c>
      <c r="B64">
        <v>7.0000000000000062E-3</v>
      </c>
      <c r="D64" s="2">
        <f t="shared" si="0"/>
        <v>9.0322580645161619</v>
      </c>
    </row>
    <row r="65" spans="1:4" x14ac:dyDescent="0.25">
      <c r="A65" s="1" t="s">
        <v>63</v>
      </c>
      <c r="B65">
        <v>-2.1000000000000046E-3</v>
      </c>
      <c r="D65" s="2">
        <v>0</v>
      </c>
    </row>
    <row r="66" spans="1:4" x14ac:dyDescent="0.25">
      <c r="A66" s="1" t="s">
        <v>64</v>
      </c>
      <c r="B66">
        <v>1.2699999999999989E-2</v>
      </c>
      <c r="D66" s="2">
        <f t="shared" si="0"/>
        <v>16.38709677419358</v>
      </c>
    </row>
    <row r="67" spans="1:4" x14ac:dyDescent="0.25">
      <c r="A67" s="1" t="s">
        <v>65</v>
      </c>
      <c r="B67">
        <v>1.3300000000000006E-2</v>
      </c>
      <c r="D67" s="2">
        <f t="shared" ref="D67:D91" si="1">B67/$B$99</f>
        <v>17.161290322580701</v>
      </c>
    </row>
    <row r="68" spans="1:4" x14ac:dyDescent="0.25">
      <c r="A68" s="1" t="s">
        <v>66</v>
      </c>
      <c r="B68">
        <v>5.0000000000000044E-4</v>
      </c>
      <c r="D68" s="2">
        <f t="shared" si="1"/>
        <v>0.64516129032258296</v>
      </c>
    </row>
    <row r="69" spans="1:4" x14ac:dyDescent="0.25">
      <c r="A69" s="1" t="s">
        <v>67</v>
      </c>
      <c r="B69">
        <v>-5.6999999999999967E-3</v>
      </c>
      <c r="D69" s="2">
        <v>0</v>
      </c>
    </row>
    <row r="70" spans="1:4" x14ac:dyDescent="0.25">
      <c r="A70" s="1" t="s">
        <v>68</v>
      </c>
      <c r="B70">
        <v>0</v>
      </c>
      <c r="D70" s="2"/>
    </row>
    <row r="71" spans="1:4" x14ac:dyDescent="0.25">
      <c r="A71" s="1" t="s">
        <v>69</v>
      </c>
      <c r="B71">
        <v>0</v>
      </c>
      <c r="D71" s="2"/>
    </row>
    <row r="72" spans="1:4" x14ac:dyDescent="0.25">
      <c r="A72" s="1" t="s">
        <v>70</v>
      </c>
      <c r="B72">
        <v>0</v>
      </c>
      <c r="D72" s="2"/>
    </row>
    <row r="73" spans="1:4" x14ac:dyDescent="0.25">
      <c r="A73" s="1" t="s">
        <v>71</v>
      </c>
      <c r="B73">
        <v>0</v>
      </c>
      <c r="D73" s="2"/>
    </row>
    <row r="74" spans="1:4" x14ac:dyDescent="0.25">
      <c r="A74" s="1" t="s">
        <v>72</v>
      </c>
      <c r="B74">
        <v>0.92110000000000003</v>
      </c>
      <c r="D74" s="2">
        <f t="shared" si="1"/>
        <v>1188.5161290322612</v>
      </c>
    </row>
    <row r="75" spans="1:4" x14ac:dyDescent="0.25">
      <c r="A75" s="1" t="s">
        <v>73</v>
      </c>
      <c r="B75">
        <v>2.8000000000000011E-2</v>
      </c>
      <c r="D75" s="2">
        <f t="shared" si="1"/>
        <v>36.129032258064626</v>
      </c>
    </row>
    <row r="76" spans="1:4" x14ac:dyDescent="0.25">
      <c r="A76" s="1" t="s">
        <v>74</v>
      </c>
      <c r="B76">
        <v>0.24359999999999998</v>
      </c>
      <c r="D76" s="2">
        <f t="shared" si="1"/>
        <v>314.32258064516213</v>
      </c>
    </row>
    <row r="77" spans="1:4" x14ac:dyDescent="0.25">
      <c r="A77" s="1" t="s">
        <v>75</v>
      </c>
      <c r="B77">
        <v>2.0000000000000573E-4</v>
      </c>
      <c r="D77" s="2">
        <f t="shared" si="1"/>
        <v>0.25806451612904036</v>
      </c>
    </row>
    <row r="78" spans="1:4" x14ac:dyDescent="0.25">
      <c r="A78" s="1" t="s">
        <v>76</v>
      </c>
      <c r="B78">
        <v>0.72839999999999994</v>
      </c>
      <c r="D78" s="2">
        <f t="shared" si="1"/>
        <v>939.87096774193799</v>
      </c>
    </row>
    <row r="79" spans="1:4" x14ac:dyDescent="0.25">
      <c r="A79" s="1" t="s">
        <v>77</v>
      </c>
      <c r="B79">
        <v>1.5085</v>
      </c>
      <c r="D79" s="2">
        <f t="shared" si="1"/>
        <v>1946.4516129032311</v>
      </c>
    </row>
    <row r="80" spans="1:4" x14ac:dyDescent="0.25">
      <c r="A80" s="1" t="s">
        <v>78</v>
      </c>
      <c r="B80">
        <v>-3.9999999999999758E-4</v>
      </c>
      <c r="D80" s="2">
        <v>0</v>
      </c>
    </row>
    <row r="81" spans="1:4" x14ac:dyDescent="0.25">
      <c r="A81" s="1" t="s">
        <v>79</v>
      </c>
      <c r="B81">
        <v>-3.7999999999999978E-3</v>
      </c>
      <c r="D81" s="2">
        <v>0</v>
      </c>
    </row>
    <row r="82" spans="1:4" x14ac:dyDescent="0.25">
      <c r="A82" s="1" t="s">
        <v>80</v>
      </c>
      <c r="B82">
        <v>0</v>
      </c>
      <c r="D82" s="2"/>
    </row>
    <row r="83" spans="1:4" x14ac:dyDescent="0.25">
      <c r="A83" s="1" t="s">
        <v>81</v>
      </c>
      <c r="B83">
        <v>0</v>
      </c>
      <c r="D83" s="2"/>
    </row>
    <row r="84" spans="1:4" x14ac:dyDescent="0.25">
      <c r="A84" s="1" t="s">
        <v>82</v>
      </c>
      <c r="B84">
        <v>0</v>
      </c>
      <c r="D84" s="2"/>
    </row>
    <row r="85" spans="1:4" x14ac:dyDescent="0.25">
      <c r="A85" s="1" t="s">
        <v>83</v>
      </c>
      <c r="B85">
        <v>0</v>
      </c>
      <c r="D85" s="2"/>
    </row>
    <row r="86" spans="1:4" x14ac:dyDescent="0.25">
      <c r="A86" s="1" t="s">
        <v>84</v>
      </c>
      <c r="B86">
        <v>3.600000000000006E-3</v>
      </c>
      <c r="D86" s="2">
        <f t="shared" si="1"/>
        <v>4.6451612903226005</v>
      </c>
    </row>
    <row r="87" spans="1:4" x14ac:dyDescent="0.25">
      <c r="A87" s="1" t="s">
        <v>85</v>
      </c>
      <c r="B87">
        <v>1.3700000000000004E-2</v>
      </c>
      <c r="D87" s="2">
        <f t="shared" si="1"/>
        <v>17.677419354838761</v>
      </c>
    </row>
    <row r="88" spans="1:4" x14ac:dyDescent="0.25">
      <c r="A88" s="1" t="s">
        <v>86</v>
      </c>
      <c r="B88">
        <v>2.2199999999999998E-2</v>
      </c>
      <c r="D88" s="2">
        <f t="shared" si="1"/>
        <v>28.645161290322655</v>
      </c>
    </row>
    <row r="89" spans="1:4" x14ac:dyDescent="0.25">
      <c r="A89" s="1" t="s">
        <v>87</v>
      </c>
      <c r="B89">
        <v>4.6000000000000069E-3</v>
      </c>
      <c r="D89" s="2">
        <f t="shared" si="1"/>
        <v>5.9354838709677669</v>
      </c>
    </row>
    <row r="90" spans="1:4" x14ac:dyDescent="0.25">
      <c r="A90" s="1" t="s">
        <v>88</v>
      </c>
      <c r="B90">
        <v>-1.7299999999999996E-2</v>
      </c>
      <c r="D90" s="2">
        <v>0</v>
      </c>
    </row>
    <row r="91" spans="1:4" x14ac:dyDescent="0.25">
      <c r="A91" s="1" t="s">
        <v>89</v>
      </c>
      <c r="B91">
        <v>6.1999999999999972E-3</v>
      </c>
      <c r="D91" s="2">
        <f t="shared" si="1"/>
        <v>8.0000000000000178</v>
      </c>
    </row>
    <row r="92" spans="1:4" x14ac:dyDescent="0.25">
      <c r="A92" s="1" t="s">
        <v>90</v>
      </c>
      <c r="B92">
        <v>-3.9999999999999758E-4</v>
      </c>
      <c r="D92" s="2">
        <v>0</v>
      </c>
    </row>
    <row r="93" spans="1:4" x14ac:dyDescent="0.25">
      <c r="A93" s="1" t="s">
        <v>91</v>
      </c>
      <c r="B93">
        <v>-4.500000000000004E-3</v>
      </c>
      <c r="D93" s="2">
        <v>0</v>
      </c>
    </row>
    <row r="94" spans="1:4" x14ac:dyDescent="0.25">
      <c r="A94" s="1" t="s">
        <v>92</v>
      </c>
    </row>
    <row r="95" spans="1:4" x14ac:dyDescent="0.25">
      <c r="A95" s="1" t="s">
        <v>93</v>
      </c>
    </row>
    <row r="96" spans="1:4" x14ac:dyDescent="0.25">
      <c r="A96" s="1" t="s">
        <v>94</v>
      </c>
    </row>
    <row r="97" spans="1:2" x14ac:dyDescent="0.25">
      <c r="A97" s="1" t="s">
        <v>95</v>
      </c>
    </row>
    <row r="99" spans="1:2" x14ac:dyDescent="0.25">
      <c r="A99" s="1" t="s">
        <v>96</v>
      </c>
      <c r="B99">
        <f>AVERAGE(B68,B56,B44,B32)</f>
        <v>7.7499999999999791E-4</v>
      </c>
    </row>
    <row r="100" spans="1:2" x14ac:dyDescent="0.25">
      <c r="B100">
        <f>_xlfn.STDEV.P(B68,B56,B44,B32)</f>
        <v>1.7853571071357101E-4</v>
      </c>
    </row>
  </sheetData>
  <phoneticPr fontId="3" type="noConversion"/>
  <conditionalFormatting sqref="B2:B9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2023-09-26T09:16:46Z</dcterms:created>
  <dcterms:modified xsi:type="dcterms:W3CDTF">2024-08-30T16:10:34Z</dcterms:modified>
</cp:coreProperties>
</file>