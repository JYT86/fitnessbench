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D8D28855-D315-449D-AAF4-B1C7580C18B1}" xr6:coauthVersionLast="47" xr6:coauthVersionMax="47" xr10:uidLastSave="{00000000-0000-0000-0000-000000000000}"/>
  <bookViews>
    <workbookView xWindow="-120" yWindow="-120" windowWidth="38640" windowHeight="21240" xr2:uid="{542B5B96-B91C-49D6-83F5-A451C924B2C1}"/>
  </bookViews>
  <sheets>
    <sheet name="All variants" sheetId="1" r:id="rId1"/>
    <sheet name="Best vari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G62" i="1" s="1"/>
  <c r="K62" i="1" s="1"/>
  <c r="H57" i="1"/>
  <c r="G58" i="1"/>
  <c r="H58" i="1"/>
  <c r="G59" i="1"/>
  <c r="K59" i="1" s="1"/>
  <c r="H59" i="1"/>
  <c r="H4" i="1"/>
  <c r="G4" i="1"/>
  <c r="K4" i="1" s="1"/>
  <c r="L56" i="1" l="1"/>
  <c r="L52" i="1"/>
  <c r="L46" i="1"/>
  <c r="L43" i="1"/>
  <c r="L41" i="1"/>
  <c r="L39" i="1"/>
  <c r="L37" i="1"/>
  <c r="L35" i="1"/>
  <c r="L33" i="1"/>
  <c r="L59" i="1"/>
  <c r="L55" i="1"/>
  <c r="L51" i="1"/>
  <c r="L48" i="1"/>
  <c r="L44" i="1"/>
  <c r="N62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H61" i="1"/>
  <c r="L61" i="1" s="1"/>
  <c r="H62" i="1"/>
  <c r="L62" i="1" s="1"/>
  <c r="L31" i="1"/>
  <c r="L30" i="1"/>
  <c r="L29" i="1"/>
  <c r="L28" i="1"/>
  <c r="L27" i="1"/>
  <c r="L26" i="1"/>
  <c r="L25" i="1"/>
  <c r="L24" i="1"/>
  <c r="L23" i="1"/>
  <c r="N23" i="1" s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G61" i="1"/>
  <c r="K61" i="1" s="1"/>
  <c r="N6" i="1" l="1"/>
  <c r="Q6" i="1" s="1"/>
  <c r="N12" i="1"/>
  <c r="Q12" i="1" s="1"/>
  <c r="N16" i="1"/>
  <c r="Q16" i="1" s="1"/>
  <c r="N25" i="1"/>
  <c r="Q25" i="1" s="1"/>
  <c r="N29" i="1"/>
  <c r="R29" i="1" s="1"/>
  <c r="N33" i="1"/>
  <c r="Q33" i="1" s="1"/>
  <c r="N37" i="1"/>
  <c r="Q37" i="1" s="1"/>
  <c r="N41" i="1"/>
  <c r="Q41" i="1" s="1"/>
  <c r="N51" i="1"/>
  <c r="Q51" i="1" s="1"/>
  <c r="N55" i="1"/>
  <c r="Q55" i="1" s="1"/>
  <c r="R51" i="1"/>
  <c r="R5" i="1"/>
  <c r="R11" i="1"/>
  <c r="R17" i="1"/>
  <c r="N8" i="1"/>
  <c r="Q8" i="1" s="1"/>
  <c r="N10" i="1"/>
  <c r="Q10" i="1" s="1"/>
  <c r="N14" i="1"/>
  <c r="Q14" i="1" s="1"/>
  <c r="N18" i="1"/>
  <c r="Q18" i="1" s="1"/>
  <c r="N20" i="1"/>
  <c r="Q20" i="1" s="1"/>
  <c r="N22" i="1"/>
  <c r="Q22" i="1" s="1"/>
  <c r="N27" i="1"/>
  <c r="Q27" i="1" s="1"/>
  <c r="N31" i="1"/>
  <c r="Q31" i="1" s="1"/>
  <c r="N35" i="1"/>
  <c r="Q35" i="1" s="1"/>
  <c r="N39" i="1"/>
  <c r="Q39" i="1" s="1"/>
  <c r="N43" i="1"/>
  <c r="Q43" i="1" s="1"/>
  <c r="N61" i="1"/>
  <c r="T61" i="1" s="1"/>
  <c r="R6" i="1"/>
  <c r="R8" i="1"/>
  <c r="R12" i="1"/>
  <c r="R16" i="1"/>
  <c r="R20" i="1"/>
  <c r="R24" i="1"/>
  <c r="R28" i="1"/>
  <c r="Q5" i="1"/>
  <c r="N5" i="1"/>
  <c r="Q7" i="1"/>
  <c r="N7" i="1"/>
  <c r="Q9" i="1"/>
  <c r="N9" i="1"/>
  <c r="Q11" i="1"/>
  <c r="N11" i="1"/>
  <c r="Q13" i="1"/>
  <c r="N13" i="1"/>
  <c r="Q15" i="1"/>
  <c r="N15" i="1"/>
  <c r="Q17" i="1"/>
  <c r="N17" i="1"/>
  <c r="Q19" i="1"/>
  <c r="N19" i="1"/>
  <c r="Q21" i="1"/>
  <c r="N21" i="1"/>
  <c r="Q24" i="1"/>
  <c r="N24" i="1"/>
  <c r="Q26" i="1"/>
  <c r="N26" i="1"/>
  <c r="Q28" i="1"/>
  <c r="N28" i="1"/>
  <c r="Q30" i="1"/>
  <c r="N30" i="1"/>
  <c r="N44" i="1"/>
  <c r="T44" i="1" s="1"/>
  <c r="Q46" i="1"/>
  <c r="N46" i="1"/>
  <c r="N48" i="1"/>
  <c r="T48" i="1" s="1"/>
  <c r="N52" i="1"/>
  <c r="T52" i="1" s="1"/>
  <c r="N56" i="1"/>
  <c r="T56" i="1" s="1"/>
  <c r="N59" i="1"/>
  <c r="L4" i="1"/>
  <c r="L47" i="1"/>
  <c r="L50" i="1"/>
  <c r="L53" i="1"/>
  <c r="L57" i="1"/>
  <c r="N57" i="1" s="1"/>
  <c r="L32" i="1"/>
  <c r="N32" i="1" s="1"/>
  <c r="L34" i="1"/>
  <c r="L36" i="1"/>
  <c r="L38" i="1"/>
  <c r="L40" i="1"/>
  <c r="L42" i="1"/>
  <c r="L45" i="1"/>
  <c r="L49" i="1"/>
  <c r="L54" i="1"/>
  <c r="N54" i="1" s="1"/>
  <c r="L58" i="1"/>
  <c r="N58" i="1" s="1"/>
  <c r="T54" i="1" l="1"/>
  <c r="Q54" i="1"/>
  <c r="T32" i="1"/>
  <c r="Q32" i="1"/>
  <c r="N4" i="1"/>
  <c r="Q56" i="1"/>
  <c r="Q52" i="1"/>
  <c r="N50" i="1"/>
  <c r="R50" i="1" s="1"/>
  <c r="Q48" i="1"/>
  <c r="T46" i="1"/>
  <c r="Q44" i="1"/>
  <c r="N42" i="1"/>
  <c r="N38" i="1"/>
  <c r="N34" i="1"/>
  <c r="T30" i="1"/>
  <c r="T28" i="1"/>
  <c r="T26" i="1"/>
  <c r="T24" i="1"/>
  <c r="T21" i="1"/>
  <c r="T19" i="1"/>
  <c r="T17" i="1"/>
  <c r="T15" i="1"/>
  <c r="T13" i="1"/>
  <c r="T11" i="1"/>
  <c r="T9" i="1"/>
  <c r="T7" i="1"/>
  <c r="T5" i="1"/>
  <c r="R30" i="1"/>
  <c r="R26" i="1"/>
  <c r="R22" i="1"/>
  <c r="R18" i="1"/>
  <c r="R14" i="1"/>
  <c r="R10" i="1"/>
  <c r="R48" i="1"/>
  <c r="T23" i="1"/>
  <c r="R15" i="1"/>
  <c r="R7" i="1"/>
  <c r="R56" i="1"/>
  <c r="R46" i="1"/>
  <c r="R41" i="1"/>
  <c r="R37" i="1"/>
  <c r="R33" i="1"/>
  <c r="R55" i="1"/>
  <c r="R44" i="1"/>
  <c r="Q29" i="1"/>
  <c r="R21" i="1"/>
  <c r="R13" i="1"/>
  <c r="R54" i="1"/>
  <c r="R32" i="1"/>
  <c r="T59" i="1"/>
  <c r="Q59" i="1"/>
  <c r="N40" i="1"/>
  <c r="N36" i="1"/>
  <c r="N53" i="1"/>
  <c r="N49" i="1"/>
  <c r="N47" i="1"/>
  <c r="T43" i="1"/>
  <c r="T39" i="1"/>
  <c r="T35" i="1"/>
  <c r="T31" i="1"/>
  <c r="T27" i="1"/>
  <c r="T22" i="1"/>
  <c r="T20" i="1"/>
  <c r="T18" i="1"/>
  <c r="T14" i="1"/>
  <c r="T10" i="1"/>
  <c r="T8" i="1"/>
  <c r="R27" i="1"/>
  <c r="R52" i="1"/>
  <c r="R43" i="1"/>
  <c r="R39" i="1"/>
  <c r="R35" i="1"/>
  <c r="R59" i="1"/>
  <c r="T55" i="1"/>
  <c r="T51" i="1"/>
  <c r="N45" i="1"/>
  <c r="T41" i="1"/>
  <c r="T37" i="1"/>
  <c r="T33" i="1"/>
  <c r="T29" i="1"/>
  <c r="T25" i="1"/>
  <c r="T16" i="1"/>
  <c r="T12" i="1"/>
  <c r="T6" i="1"/>
  <c r="R31" i="1"/>
  <c r="R25" i="1"/>
  <c r="R19" i="1"/>
  <c r="R9" i="1"/>
  <c r="T45" i="1" l="1"/>
  <c r="Q45" i="1"/>
  <c r="T47" i="1"/>
  <c r="Q47" i="1"/>
  <c r="T53" i="1"/>
  <c r="Q53" i="1"/>
  <c r="T40" i="1"/>
  <c r="Q40" i="1"/>
  <c r="T49" i="1"/>
  <c r="Q49" i="1"/>
  <c r="T36" i="1"/>
  <c r="Q36" i="1"/>
  <c r="R53" i="1"/>
  <c r="R36" i="1"/>
  <c r="T38" i="1"/>
  <c r="Q38" i="1"/>
  <c r="T4" i="1"/>
  <c r="Q4" i="1"/>
  <c r="R38" i="1"/>
  <c r="R49" i="1"/>
  <c r="R40" i="1"/>
  <c r="T34" i="1"/>
  <c r="Q34" i="1"/>
  <c r="T42" i="1"/>
  <c r="Q42" i="1"/>
  <c r="T50" i="1"/>
  <c r="Q50" i="1"/>
  <c r="R4" i="1"/>
  <c r="R34" i="1"/>
  <c r="R42" i="1"/>
  <c r="R47" i="1"/>
  <c r="R45" i="1"/>
</calcChain>
</file>

<file path=xl/sharedStrings.xml><?xml version="1.0" encoding="utf-8"?>
<sst xmlns="http://schemas.openxmlformats.org/spreadsheetml/2006/main" count="87" uniqueCount="74">
  <si>
    <t>4-OH-bI</t>
  </si>
  <si>
    <t>2-OH-bI</t>
  </si>
  <si>
    <t>IS</t>
  </si>
  <si>
    <t>Var 11</t>
  </si>
  <si>
    <t>Var 16</t>
  </si>
  <si>
    <t>Var 22</t>
  </si>
  <si>
    <t>Var 25</t>
  </si>
  <si>
    <t>Var 28</t>
  </si>
  <si>
    <t>Var 34</t>
  </si>
  <si>
    <t>wt</t>
  </si>
  <si>
    <t>LV</t>
  </si>
  <si>
    <t>empty</t>
  </si>
  <si>
    <t>LV Average</t>
  </si>
  <si>
    <t>WT Average</t>
  </si>
  <si>
    <t>Activity compared to wt</t>
  </si>
  <si>
    <t>Integrated Area</t>
  </si>
  <si>
    <t>Retention Time</t>
  </si>
  <si>
    <t>Product</t>
  </si>
  <si>
    <t>Division of integrated area by area IS</t>
  </si>
  <si>
    <t>Deduction of background reaction (LV)</t>
  </si>
  <si>
    <t>Total sum of product</t>
  </si>
  <si>
    <t>Total sum of product divided by wild type activity</t>
  </si>
  <si>
    <t>LV = background reaction, empty vector (microtiter plate vials in which yeast grew but the inserted plasmid contained lacZ)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</si>
  <si>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</si>
  <si>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</si>
  <si>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</si>
  <si>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</si>
  <si>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</si>
  <si>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</si>
  <si>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</si>
  <si>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</si>
  <si>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</si>
  <si>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</si>
  <si>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</si>
  <si>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</si>
  <si>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</si>
  <si>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</si>
  <si>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</si>
  <si>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</si>
  <si>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</si>
  <si>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</si>
  <si>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</si>
  <si>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</si>
  <si>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</si>
  <si>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</si>
  <si>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</si>
  <si>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</si>
  <si>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</si>
  <si>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</si>
  <si>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</si>
  <si>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</si>
  <si>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</si>
  <si>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</si>
  <si>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</si>
  <si>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</si>
  <si>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</si>
  <si>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</si>
  <si>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</si>
  <si>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</si>
  <si>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</si>
  <si>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</si>
  <si>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</si>
  <si>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</si>
  <si>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</si>
  <si>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</si>
  <si>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</si>
  <si>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</si>
  <si>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</si>
  <si>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</si>
  <si>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</si>
  <si>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</si>
  <si>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</si>
  <si>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</si>
  <si>
    <t>Regioselectivity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</si>
</sst>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2" fontId="0" fillId="0" borderId="0" xfId="0" applyNumberFormat="1"/>
    <xf numFmtId="2" fontId="0" fillId="2" borderId="0" xfId="0" applyNumberFormat="1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B743-2068-4526-B49B-EDEE534C14BF}">
  <dimension ref="A1:T64"/>
  <sheetViews>
    <sheetView tabSelected="1" zoomScaleNormal="100" workbookViewId="0">
      <pane ySplit="2" topLeftCell="A3" activePane="bottomLeft" state="frozen"/>
      <selection pane="bottomLeft" activeCell="AA29" sqref="AA29"/>
    </sheetView>
  </sheetViews>
  <sheetFormatPr defaultRowHeight="15" x14ac:dyDescent="0.25"/>
  <cols>
    <col min="1" max="1" width="14.85546875" bestFit="1" customWidth="1"/>
    <col min="14" max="14" width="17" customWidth="1"/>
    <col min="16" max="16" width="20" customWidth="1"/>
    <col min="20" max="20" width="22.7109375" customWidth="1"/>
  </cols>
  <sheetData>
    <row r="1" spans="1:20" ht="30" customHeight="1" x14ac:dyDescent="0.25">
      <c r="B1" s="5" t="s">
        <v>15</v>
      </c>
      <c r="C1" s="5"/>
      <c r="D1" s="5"/>
      <c r="F1" s="5" t="s">
        <v>18</v>
      </c>
      <c r="G1" s="5"/>
      <c r="H1" s="5"/>
      <c r="J1" s="5" t="s">
        <v>19</v>
      </c>
      <c r="K1" s="5"/>
      <c r="L1" s="5"/>
      <c r="N1" s="4" t="s">
        <v>20</v>
      </c>
      <c r="T1" s="4" t="s">
        <v>21</v>
      </c>
    </row>
    <row r="2" spans="1:20" x14ac:dyDescent="0.25">
      <c r="A2" t="s">
        <v>17</v>
      </c>
      <c r="B2" t="s">
        <v>2</v>
      </c>
      <c r="C2" t="s">
        <v>0</v>
      </c>
      <c r="D2" t="s">
        <v>1</v>
      </c>
      <c r="G2" t="s">
        <v>0</v>
      </c>
      <c r="H2" t="s">
        <v>1</v>
      </c>
      <c r="K2" t="s">
        <v>0</v>
      </c>
      <c r="L2" t="s">
        <v>1</v>
      </c>
      <c r="P2" t="s">
        <v>73</v>
      </c>
      <c r="Q2" t="s">
        <v>0</v>
      </c>
      <c r="R2" t="s">
        <v>1</v>
      </c>
      <c r="T2" t="s">
        <v>14</v>
      </c>
    </row>
    <row r="3" spans="1:20" x14ac:dyDescent="0.25">
      <c r="A3" t="s">
        <v>16</v>
      </c>
      <c r="B3">
        <v>10.76</v>
      </c>
      <c r="C3">
        <v>16.899999999999999</v>
      </c>
      <c r="D3">
        <v>17.47</v>
      </c>
      <c r="G3">
        <v>16.899999999999999</v>
      </c>
      <c r="H3">
        <v>17.47</v>
      </c>
      <c r="K3">
        <v>16.899999999999999</v>
      </c>
      <c r="L3">
        <v>17.47</v>
      </c>
      <c r="Q3">
        <v>16.899999999999999</v>
      </c>
      <c r="R3">
        <v>17.47</v>
      </c>
    </row>
    <row r="4" spans="1:20" x14ac:dyDescent="0.25">
      <c r="A4" t="s">
        <v>23</v>
      </c>
      <c r="B4">
        <v>9859252</v>
      </c>
      <c r="C4">
        <v>82578</v>
      </c>
      <c r="D4">
        <v>0</v>
      </c>
      <c r="G4">
        <f>C4/B4</f>
        <v>8.3756861068162176E-3</v>
      </c>
      <c r="H4">
        <f>D4/B4</f>
        <v>0</v>
      </c>
      <c r="K4">
        <f>G4-$G$62</f>
        <v>2.7334853738799738E-3</v>
      </c>
      <c r="L4">
        <f>H4-$H$62</f>
        <v>0</v>
      </c>
      <c r="N4">
        <f>SUM(K4:L4)</f>
        <v>2.7334853738799738E-3</v>
      </c>
      <c r="Q4" s="1">
        <f>K4/N4</f>
        <v>1</v>
      </c>
      <c r="R4" s="1">
        <f>L4/N4</f>
        <v>0</v>
      </c>
      <c r="T4" s="2">
        <f>N4/$N$61</f>
        <v>3.0412185088644857E-2</v>
      </c>
    </row>
    <row r="5" spans="1:20" x14ac:dyDescent="0.25">
      <c r="A5" t="s">
        <v>24</v>
      </c>
      <c r="B5">
        <v>9606608</v>
      </c>
      <c r="C5">
        <v>153802</v>
      </c>
      <c r="D5">
        <v>0</v>
      </c>
      <c r="G5">
        <f t="shared" ref="G5:G59" si="0">C5/B5</f>
        <v>1.6010021435245405E-2</v>
      </c>
      <c r="H5">
        <f t="shared" ref="H5:H59" si="1">D5/B5</f>
        <v>0</v>
      </c>
      <c r="K5">
        <f t="shared" ref="K5:K62" si="2">G5-$G$62</f>
        <v>1.0367820702309162E-2</v>
      </c>
      <c r="L5">
        <f t="shared" ref="L5:L62" si="3">H5-$H$62</f>
        <v>0</v>
      </c>
      <c r="N5">
        <f t="shared" ref="N5:N62" si="4">SUM(K5:L5)</f>
        <v>1.0367820702309162E-2</v>
      </c>
      <c r="Q5" s="1">
        <f t="shared" ref="Q5:Q59" si="5">K5/N5</f>
        <v>1</v>
      </c>
      <c r="R5" s="1">
        <f t="shared" ref="R5:R59" si="6">L5/N5</f>
        <v>0</v>
      </c>
      <c r="T5" s="2">
        <f t="shared" ref="T5:T61" si="7">N5/$N$61</f>
        <v>0.11535019911848089</v>
      </c>
    </row>
    <row r="6" spans="1:20" x14ac:dyDescent="0.25">
      <c r="A6" t="s">
        <v>25</v>
      </c>
      <c r="B6">
        <v>9274456</v>
      </c>
      <c r="C6">
        <v>128586</v>
      </c>
      <c r="D6">
        <v>0</v>
      </c>
      <c r="G6">
        <f t="shared" si="0"/>
        <v>1.3864532863167392E-2</v>
      </c>
      <c r="H6">
        <f t="shared" si="1"/>
        <v>0</v>
      </c>
      <c r="K6">
        <f t="shared" si="2"/>
        <v>8.2223321302311476E-3</v>
      </c>
      <c r="L6">
        <f t="shared" si="3"/>
        <v>0</v>
      </c>
      <c r="N6">
        <f t="shared" si="4"/>
        <v>8.2223321302311476E-3</v>
      </c>
      <c r="Q6" s="1">
        <f t="shared" si="5"/>
        <v>1</v>
      </c>
      <c r="R6" s="1">
        <f t="shared" si="6"/>
        <v>0</v>
      </c>
      <c r="T6" s="2">
        <f t="shared" si="7"/>
        <v>9.147994315036756E-2</v>
      </c>
    </row>
    <row r="7" spans="1:20" x14ac:dyDescent="0.25">
      <c r="A7" t="s">
        <v>26</v>
      </c>
      <c r="B7">
        <v>9767064</v>
      </c>
      <c r="C7">
        <v>80600</v>
      </c>
      <c r="D7">
        <v>0</v>
      </c>
      <c r="G7">
        <f t="shared" si="0"/>
        <v>8.2522240050848447E-3</v>
      </c>
      <c r="H7">
        <f t="shared" si="1"/>
        <v>0</v>
      </c>
      <c r="K7">
        <f t="shared" si="2"/>
        <v>2.6100232721486009E-3</v>
      </c>
      <c r="L7">
        <f t="shared" si="3"/>
        <v>0</v>
      </c>
      <c r="N7">
        <f t="shared" si="4"/>
        <v>2.6100232721486009E-3</v>
      </c>
      <c r="Q7" s="1">
        <f t="shared" si="5"/>
        <v>1</v>
      </c>
      <c r="R7" s="1">
        <f t="shared" si="6"/>
        <v>0</v>
      </c>
      <c r="T7" s="2">
        <f t="shared" si="7"/>
        <v>2.9038571633395953E-2</v>
      </c>
    </row>
    <row r="8" spans="1:20" x14ac:dyDescent="0.25">
      <c r="A8" t="s">
        <v>27</v>
      </c>
      <c r="B8">
        <v>9690932</v>
      </c>
      <c r="C8">
        <v>354935</v>
      </c>
      <c r="D8">
        <v>0</v>
      </c>
      <c r="G8">
        <f t="shared" si="0"/>
        <v>3.6625476269981048E-2</v>
      </c>
      <c r="H8">
        <f t="shared" si="1"/>
        <v>0</v>
      </c>
      <c r="K8">
        <f t="shared" si="2"/>
        <v>3.0983275537044806E-2</v>
      </c>
      <c r="L8">
        <f t="shared" si="3"/>
        <v>0</v>
      </c>
      <c r="N8">
        <f t="shared" si="4"/>
        <v>3.0983275537044806E-2</v>
      </c>
      <c r="Q8" s="1">
        <f t="shared" si="5"/>
        <v>1</v>
      </c>
      <c r="R8" s="1">
        <f t="shared" si="6"/>
        <v>0</v>
      </c>
      <c r="T8" s="2">
        <f t="shared" si="7"/>
        <v>0.34471342678070011</v>
      </c>
    </row>
    <row r="9" spans="1:20" x14ac:dyDescent="0.25">
      <c r="A9" t="s">
        <v>28</v>
      </c>
      <c r="B9">
        <v>9550988</v>
      </c>
      <c r="C9">
        <v>207188</v>
      </c>
      <c r="D9">
        <v>0</v>
      </c>
      <c r="G9">
        <f t="shared" si="0"/>
        <v>2.16928342910702E-2</v>
      </c>
      <c r="H9">
        <f t="shared" si="1"/>
        <v>0</v>
      </c>
      <c r="K9">
        <f t="shared" si="2"/>
        <v>1.6050633558133957E-2</v>
      </c>
      <c r="L9">
        <f t="shared" si="3"/>
        <v>0</v>
      </c>
      <c r="N9">
        <f t="shared" si="4"/>
        <v>1.6050633558133957E-2</v>
      </c>
      <c r="Q9" s="1">
        <f t="shared" si="5"/>
        <v>1</v>
      </c>
      <c r="R9" s="1">
        <f t="shared" si="6"/>
        <v>0</v>
      </c>
      <c r="T9" s="2">
        <f t="shared" si="7"/>
        <v>0.17857598333043728</v>
      </c>
    </row>
    <row r="10" spans="1:20" x14ac:dyDescent="0.25">
      <c r="A10" t="s">
        <v>29</v>
      </c>
      <c r="B10">
        <v>9639757</v>
      </c>
      <c r="C10">
        <v>66877</v>
      </c>
      <c r="D10">
        <v>0</v>
      </c>
      <c r="G10">
        <f t="shared" si="0"/>
        <v>6.9376230126962741E-3</v>
      </c>
      <c r="H10">
        <f t="shared" si="1"/>
        <v>0</v>
      </c>
      <c r="K10">
        <f t="shared" si="2"/>
        <v>1.2954222797600303E-3</v>
      </c>
      <c r="L10">
        <f t="shared" si="3"/>
        <v>0</v>
      </c>
      <c r="N10">
        <f t="shared" si="4"/>
        <v>1.2954222797600303E-3</v>
      </c>
      <c r="Q10" s="1">
        <f t="shared" si="5"/>
        <v>1</v>
      </c>
      <c r="R10" s="1">
        <f t="shared" si="6"/>
        <v>0</v>
      </c>
      <c r="T10" s="2">
        <f t="shared" si="7"/>
        <v>1.441259664912559E-2</v>
      </c>
    </row>
    <row r="11" spans="1:20" x14ac:dyDescent="0.25">
      <c r="A11" t="s">
        <v>30</v>
      </c>
      <c r="B11">
        <v>9336624</v>
      </c>
      <c r="C11">
        <v>61292</v>
      </c>
      <c r="D11">
        <v>0</v>
      </c>
      <c r="G11">
        <f t="shared" si="0"/>
        <v>6.5646854794623836E-3</v>
      </c>
      <c r="H11">
        <f t="shared" si="1"/>
        <v>0</v>
      </c>
      <c r="K11">
        <f t="shared" si="2"/>
        <v>9.2248474652613984E-4</v>
      </c>
      <c r="L11">
        <f t="shared" si="3"/>
        <v>0</v>
      </c>
      <c r="N11">
        <f t="shared" si="4"/>
        <v>9.2248474652613984E-4</v>
      </c>
      <c r="Q11" s="1">
        <f t="shared" si="5"/>
        <v>1</v>
      </c>
      <c r="R11" s="1">
        <f t="shared" si="6"/>
        <v>0</v>
      </c>
      <c r="T11" s="2">
        <f t="shared" si="7"/>
        <v>1.0263371855172208E-2</v>
      </c>
    </row>
    <row r="12" spans="1:20" x14ac:dyDescent="0.25">
      <c r="A12" t="s">
        <v>31</v>
      </c>
      <c r="B12">
        <v>9317829</v>
      </c>
      <c r="C12">
        <v>56246</v>
      </c>
      <c r="D12">
        <v>0</v>
      </c>
      <c r="G12">
        <f t="shared" si="0"/>
        <v>6.0363846556960856E-3</v>
      </c>
      <c r="H12">
        <f t="shared" si="1"/>
        <v>0</v>
      </c>
      <c r="K12">
        <f t="shared" si="2"/>
        <v>3.9418392275984183E-4</v>
      </c>
      <c r="L12">
        <f t="shared" si="3"/>
        <v>0</v>
      </c>
      <c r="N12">
        <f t="shared" si="4"/>
        <v>3.9418392275984183E-4</v>
      </c>
      <c r="Q12" s="1">
        <f t="shared" si="5"/>
        <v>1</v>
      </c>
      <c r="R12" s="1">
        <f t="shared" si="6"/>
        <v>0</v>
      </c>
      <c r="T12" s="2">
        <f t="shared" si="7"/>
        <v>4.3856076686901585E-3</v>
      </c>
    </row>
    <row r="13" spans="1:20" x14ac:dyDescent="0.25">
      <c r="A13" t="s">
        <v>32</v>
      </c>
      <c r="B13">
        <v>8816202</v>
      </c>
      <c r="C13">
        <v>77308</v>
      </c>
      <c r="D13">
        <v>0</v>
      </c>
      <c r="G13">
        <f t="shared" si="0"/>
        <v>8.7688553415631813E-3</v>
      </c>
      <c r="H13">
        <f t="shared" si="1"/>
        <v>0</v>
      </c>
      <c r="K13">
        <f t="shared" si="2"/>
        <v>3.1266546086269375E-3</v>
      </c>
      <c r="L13">
        <f t="shared" si="3"/>
        <v>0</v>
      </c>
      <c r="N13">
        <f t="shared" si="4"/>
        <v>3.1266546086269375E-3</v>
      </c>
      <c r="Q13" s="1">
        <f t="shared" si="5"/>
        <v>1</v>
      </c>
      <c r="R13" s="1">
        <f t="shared" si="6"/>
        <v>0</v>
      </c>
      <c r="T13" s="2">
        <f t="shared" si="7"/>
        <v>3.4786503551272399E-2</v>
      </c>
    </row>
    <row r="14" spans="1:20" x14ac:dyDescent="0.25">
      <c r="A14" t="s">
        <v>33</v>
      </c>
      <c r="B14">
        <v>9418294</v>
      </c>
      <c r="C14">
        <v>5420911</v>
      </c>
      <c r="D14">
        <v>602696</v>
      </c>
      <c r="G14">
        <f t="shared" si="0"/>
        <v>0.57557249752449857</v>
      </c>
      <c r="H14">
        <f t="shared" si="1"/>
        <v>6.3992056310835058E-2</v>
      </c>
      <c r="K14">
        <f t="shared" si="2"/>
        <v>0.56993029679156237</v>
      </c>
      <c r="L14">
        <f t="shared" si="3"/>
        <v>6.3992056310835058E-2</v>
      </c>
      <c r="N14">
        <f t="shared" si="4"/>
        <v>0.63392235310239742</v>
      </c>
      <c r="Q14" s="1">
        <f t="shared" si="5"/>
        <v>0.8990537942105058</v>
      </c>
      <c r="R14" s="1">
        <f t="shared" si="6"/>
        <v>0.10094620578949426</v>
      </c>
      <c r="T14" s="3">
        <f t="shared" si="7"/>
        <v>7.0528871742285473</v>
      </c>
    </row>
    <row r="15" spans="1:20" x14ac:dyDescent="0.25">
      <c r="A15" t="s">
        <v>34</v>
      </c>
      <c r="B15">
        <v>9332990</v>
      </c>
      <c r="C15">
        <v>66109</v>
      </c>
      <c r="D15">
        <v>0</v>
      </c>
      <c r="G15">
        <f t="shared" si="0"/>
        <v>7.0833677095978884E-3</v>
      </c>
      <c r="H15">
        <f t="shared" si="1"/>
        <v>0</v>
      </c>
      <c r="K15">
        <f t="shared" si="2"/>
        <v>1.4411669766616446E-3</v>
      </c>
      <c r="L15">
        <f t="shared" si="3"/>
        <v>0</v>
      </c>
      <c r="N15">
        <f t="shared" si="4"/>
        <v>1.4411669766616446E-3</v>
      </c>
      <c r="Q15" s="1">
        <f t="shared" si="5"/>
        <v>1</v>
      </c>
      <c r="R15" s="1">
        <f t="shared" si="6"/>
        <v>0</v>
      </c>
      <c r="T15" s="2">
        <f t="shared" si="7"/>
        <v>1.6034121585828971E-2</v>
      </c>
    </row>
    <row r="16" spans="1:20" x14ac:dyDescent="0.25">
      <c r="A16" t="s">
        <v>35</v>
      </c>
      <c r="B16">
        <v>9033665</v>
      </c>
      <c r="C16">
        <v>57015</v>
      </c>
      <c r="D16">
        <v>0</v>
      </c>
      <c r="G16">
        <f t="shared" si="0"/>
        <v>6.3113918880100157E-3</v>
      </c>
      <c r="H16">
        <f t="shared" si="1"/>
        <v>0</v>
      </c>
      <c r="K16">
        <f t="shared" si="2"/>
        <v>6.6919115507377194E-4</v>
      </c>
      <c r="L16">
        <f t="shared" si="3"/>
        <v>0</v>
      </c>
      <c r="N16">
        <f t="shared" si="4"/>
        <v>6.6919115507377194E-4</v>
      </c>
      <c r="Q16" s="1">
        <f t="shared" si="5"/>
        <v>1</v>
      </c>
      <c r="R16" s="1">
        <f t="shared" si="6"/>
        <v>0</v>
      </c>
      <c r="T16" s="2">
        <f t="shared" si="7"/>
        <v>7.4452804694908987E-3</v>
      </c>
    </row>
    <row r="17" spans="1:20" x14ac:dyDescent="0.25">
      <c r="A17" t="s">
        <v>36</v>
      </c>
      <c r="B17">
        <v>9137884</v>
      </c>
      <c r="C17">
        <v>67500</v>
      </c>
      <c r="D17">
        <v>0</v>
      </c>
      <c r="G17">
        <f t="shared" si="0"/>
        <v>7.3868304741010063E-3</v>
      </c>
      <c r="H17">
        <f t="shared" si="1"/>
        <v>0</v>
      </c>
      <c r="K17">
        <f t="shared" si="2"/>
        <v>1.7446297411647625E-3</v>
      </c>
      <c r="L17">
        <f t="shared" si="3"/>
        <v>0</v>
      </c>
      <c r="N17">
        <f t="shared" si="4"/>
        <v>1.7446297411647625E-3</v>
      </c>
      <c r="Q17" s="1">
        <f t="shared" si="5"/>
        <v>1</v>
      </c>
      <c r="R17" s="1">
        <f t="shared" si="6"/>
        <v>0</v>
      </c>
      <c r="T17" s="2">
        <f t="shared" si="7"/>
        <v>1.9410384670961508E-2</v>
      </c>
    </row>
    <row r="18" spans="1:20" x14ac:dyDescent="0.25">
      <c r="A18" t="s">
        <v>37</v>
      </c>
      <c r="B18">
        <v>8762018</v>
      </c>
      <c r="C18">
        <v>81377</v>
      </c>
      <c r="D18">
        <v>0</v>
      </c>
      <c r="G18">
        <f t="shared" si="0"/>
        <v>9.2874723608191625E-3</v>
      </c>
      <c r="H18">
        <f t="shared" si="1"/>
        <v>0</v>
      </c>
      <c r="K18">
        <f t="shared" si="2"/>
        <v>3.6452716278829187E-3</v>
      </c>
      <c r="L18">
        <f t="shared" si="3"/>
        <v>0</v>
      </c>
      <c r="N18">
        <f t="shared" si="4"/>
        <v>3.6452716278829187E-3</v>
      </c>
      <c r="Q18" s="1">
        <f t="shared" si="5"/>
        <v>1</v>
      </c>
      <c r="R18" s="1">
        <f t="shared" si="6"/>
        <v>0</v>
      </c>
      <c r="T18" s="2">
        <f t="shared" si="7"/>
        <v>4.0556527759357572E-2</v>
      </c>
    </row>
    <row r="19" spans="1:20" x14ac:dyDescent="0.25">
      <c r="A19" t="s">
        <v>38</v>
      </c>
      <c r="B19">
        <v>9418028</v>
      </c>
      <c r="C19">
        <v>1140202</v>
      </c>
      <c r="D19">
        <v>0</v>
      </c>
      <c r="G19">
        <f t="shared" si="0"/>
        <v>0.12106589617274444</v>
      </c>
      <c r="H19">
        <f t="shared" si="1"/>
        <v>0</v>
      </c>
      <c r="K19">
        <f t="shared" si="2"/>
        <v>0.1154236954398082</v>
      </c>
      <c r="L19">
        <f t="shared" si="3"/>
        <v>0</v>
      </c>
      <c r="N19">
        <f t="shared" si="4"/>
        <v>0.1154236954398082</v>
      </c>
      <c r="Q19" s="1">
        <f t="shared" si="5"/>
        <v>1</v>
      </c>
      <c r="R19" s="1">
        <f t="shared" si="6"/>
        <v>0</v>
      </c>
      <c r="T19" s="2">
        <f t="shared" si="7"/>
        <v>1.2841798324123594</v>
      </c>
    </row>
    <row r="20" spans="1:20" x14ac:dyDescent="0.25">
      <c r="A20" t="s">
        <v>39</v>
      </c>
      <c r="B20">
        <v>9462066</v>
      </c>
      <c r="C20">
        <v>129717</v>
      </c>
      <c r="D20">
        <v>0</v>
      </c>
      <c r="G20">
        <f t="shared" si="0"/>
        <v>1.3709162459868701E-2</v>
      </c>
      <c r="H20">
        <f t="shared" si="1"/>
        <v>0</v>
      </c>
      <c r="K20">
        <f t="shared" si="2"/>
        <v>8.0669617269324562E-3</v>
      </c>
      <c r="L20">
        <f t="shared" si="3"/>
        <v>0</v>
      </c>
      <c r="N20">
        <f t="shared" si="4"/>
        <v>8.0669617269324562E-3</v>
      </c>
      <c r="Q20" s="1">
        <f t="shared" si="5"/>
        <v>1</v>
      </c>
      <c r="R20" s="1">
        <f t="shared" si="6"/>
        <v>0</v>
      </c>
      <c r="T20" s="2">
        <f t="shared" si="7"/>
        <v>8.9751324622692683E-2</v>
      </c>
    </row>
    <row r="21" spans="1:20" x14ac:dyDescent="0.25">
      <c r="A21" t="s">
        <v>40</v>
      </c>
      <c r="B21">
        <v>9390346</v>
      </c>
      <c r="C21">
        <v>718672</v>
      </c>
      <c r="D21">
        <v>0</v>
      </c>
      <c r="G21">
        <f t="shared" si="0"/>
        <v>7.6533069175512808E-2</v>
      </c>
      <c r="H21">
        <f t="shared" si="1"/>
        <v>0</v>
      </c>
      <c r="K21">
        <f t="shared" si="2"/>
        <v>7.0890868442576568E-2</v>
      </c>
      <c r="L21">
        <f t="shared" si="3"/>
        <v>0</v>
      </c>
      <c r="N21">
        <f t="shared" si="4"/>
        <v>7.0890868442576568E-2</v>
      </c>
      <c r="Q21" s="1">
        <f t="shared" si="5"/>
        <v>1</v>
      </c>
      <c r="R21" s="1">
        <f t="shared" si="6"/>
        <v>0</v>
      </c>
      <c r="T21" s="2">
        <f t="shared" si="7"/>
        <v>0.78871693727419157</v>
      </c>
    </row>
    <row r="22" spans="1:20" x14ac:dyDescent="0.25">
      <c r="A22" t="s">
        <v>41</v>
      </c>
      <c r="B22">
        <v>9091838</v>
      </c>
      <c r="C22">
        <v>57706</v>
      </c>
      <c r="D22">
        <v>0</v>
      </c>
      <c r="G22">
        <f t="shared" si="0"/>
        <v>6.3470114623687748E-3</v>
      </c>
      <c r="H22">
        <f t="shared" si="1"/>
        <v>0</v>
      </c>
      <c r="K22">
        <f t="shared" si="2"/>
        <v>7.0481072943253103E-4</v>
      </c>
      <c r="L22">
        <f t="shared" si="3"/>
        <v>0</v>
      </c>
      <c r="N22">
        <f t="shared" si="4"/>
        <v>7.0481072943253103E-4</v>
      </c>
      <c r="Q22" s="1">
        <f t="shared" si="5"/>
        <v>1</v>
      </c>
      <c r="R22" s="1">
        <f t="shared" si="6"/>
        <v>0</v>
      </c>
      <c r="T22" s="2">
        <f t="shared" si="7"/>
        <v>7.8415763847822662E-3</v>
      </c>
    </row>
    <row r="23" spans="1:20" x14ac:dyDescent="0.25">
      <c r="A23" t="s">
        <v>42</v>
      </c>
      <c r="B23">
        <v>9274400</v>
      </c>
      <c r="C23">
        <v>50344</v>
      </c>
      <c r="D23">
        <v>0</v>
      </c>
      <c r="G23">
        <f t="shared" si="0"/>
        <v>5.4282756836021738E-3</v>
      </c>
      <c r="H23">
        <f t="shared" si="1"/>
        <v>0</v>
      </c>
      <c r="K23">
        <v>0</v>
      </c>
      <c r="L23">
        <f t="shared" si="3"/>
        <v>0</v>
      </c>
      <c r="N23">
        <f t="shared" si="4"/>
        <v>0</v>
      </c>
      <c r="Q23" s="1">
        <v>0</v>
      </c>
      <c r="R23" s="1">
        <v>0</v>
      </c>
      <c r="T23" s="2">
        <f t="shared" si="7"/>
        <v>0</v>
      </c>
    </row>
    <row r="24" spans="1:20" x14ac:dyDescent="0.25">
      <c r="A24" t="s">
        <v>43</v>
      </c>
      <c r="B24">
        <v>9006764</v>
      </c>
      <c r="C24">
        <v>316820</v>
      </c>
      <c r="D24">
        <v>0</v>
      </c>
      <c r="G24">
        <f t="shared" si="0"/>
        <v>3.51757856650846E-2</v>
      </c>
      <c r="H24">
        <f t="shared" si="1"/>
        <v>0</v>
      </c>
      <c r="K24">
        <f t="shared" si="2"/>
        <v>2.9533584932148357E-2</v>
      </c>
      <c r="L24">
        <f t="shared" si="3"/>
        <v>0</v>
      </c>
      <c r="N24">
        <f t="shared" si="4"/>
        <v>2.9533584932148357E-2</v>
      </c>
      <c r="Q24" s="1">
        <f t="shared" si="5"/>
        <v>1</v>
      </c>
      <c r="R24" s="1">
        <f t="shared" si="6"/>
        <v>0</v>
      </c>
      <c r="T24" s="2">
        <f t="shared" si="7"/>
        <v>0.32858447309443972</v>
      </c>
    </row>
    <row r="25" spans="1:20" x14ac:dyDescent="0.25">
      <c r="A25" t="s">
        <v>44</v>
      </c>
      <c r="B25">
        <v>8607641</v>
      </c>
      <c r="C25">
        <v>1117322</v>
      </c>
      <c r="D25">
        <v>0</v>
      </c>
      <c r="G25">
        <f t="shared" si="0"/>
        <v>0.12980583181849709</v>
      </c>
      <c r="H25">
        <f t="shared" si="1"/>
        <v>0</v>
      </c>
      <c r="K25">
        <f t="shared" si="2"/>
        <v>0.12416363108556085</v>
      </c>
      <c r="L25">
        <f t="shared" si="3"/>
        <v>0</v>
      </c>
      <c r="N25">
        <f t="shared" si="4"/>
        <v>0.12416363108556085</v>
      </c>
      <c r="Q25" s="1">
        <f t="shared" si="5"/>
        <v>1</v>
      </c>
      <c r="R25" s="1">
        <f t="shared" si="6"/>
        <v>0</v>
      </c>
      <c r="T25" s="2">
        <f t="shared" si="7"/>
        <v>1.3814185237407828</v>
      </c>
    </row>
    <row r="26" spans="1:20" x14ac:dyDescent="0.25">
      <c r="A26" t="s">
        <v>45</v>
      </c>
      <c r="B26">
        <v>9053029</v>
      </c>
      <c r="C26">
        <v>171115</v>
      </c>
      <c r="D26">
        <v>0</v>
      </c>
      <c r="G26">
        <f t="shared" si="0"/>
        <v>1.8901408578278055E-2</v>
      </c>
      <c r="H26">
        <f t="shared" si="1"/>
        <v>0</v>
      </c>
      <c r="K26">
        <f t="shared" si="2"/>
        <v>1.3259207845341812E-2</v>
      </c>
      <c r="L26">
        <f t="shared" si="3"/>
        <v>0</v>
      </c>
      <c r="N26">
        <f t="shared" si="4"/>
        <v>1.3259207845341812E-2</v>
      </c>
      <c r="Q26" s="1">
        <f t="shared" si="5"/>
        <v>1</v>
      </c>
      <c r="R26" s="1">
        <f t="shared" si="6"/>
        <v>0</v>
      </c>
      <c r="T26" s="2">
        <f t="shared" si="7"/>
        <v>0.1475191661804931</v>
      </c>
    </row>
    <row r="27" spans="1:20" x14ac:dyDescent="0.25">
      <c r="A27" t="s">
        <v>46</v>
      </c>
      <c r="B27">
        <v>9139664</v>
      </c>
      <c r="C27">
        <v>85536</v>
      </c>
      <c r="D27">
        <v>0</v>
      </c>
      <c r="G27">
        <f t="shared" si="0"/>
        <v>9.3587685499160588E-3</v>
      </c>
      <c r="H27">
        <f t="shared" si="1"/>
        <v>0</v>
      </c>
      <c r="K27">
        <f t="shared" si="2"/>
        <v>3.716567816979815E-3</v>
      </c>
      <c r="L27">
        <f t="shared" si="3"/>
        <v>0</v>
      </c>
      <c r="N27">
        <f t="shared" si="4"/>
        <v>3.716567816979815E-3</v>
      </c>
      <c r="Q27" s="1">
        <f t="shared" si="5"/>
        <v>1</v>
      </c>
      <c r="R27" s="1">
        <f t="shared" si="6"/>
        <v>0</v>
      </c>
      <c r="T27" s="2">
        <f t="shared" si="7"/>
        <v>4.1349754209240544E-2</v>
      </c>
    </row>
    <row r="28" spans="1:20" x14ac:dyDescent="0.25">
      <c r="A28" t="s">
        <v>47</v>
      </c>
      <c r="B28">
        <v>8363431</v>
      </c>
      <c r="C28">
        <v>1132417</v>
      </c>
      <c r="D28">
        <v>0</v>
      </c>
      <c r="G28">
        <f t="shared" si="0"/>
        <v>0.13540100946609113</v>
      </c>
      <c r="H28">
        <f t="shared" si="1"/>
        <v>0</v>
      </c>
      <c r="K28">
        <f t="shared" si="2"/>
        <v>0.12975880873315487</v>
      </c>
      <c r="L28">
        <f t="shared" si="3"/>
        <v>0</v>
      </c>
      <c r="N28">
        <f t="shared" si="4"/>
        <v>0.12975880873315487</v>
      </c>
      <c r="Q28" s="1">
        <f t="shared" si="5"/>
        <v>1</v>
      </c>
      <c r="R28" s="1">
        <f t="shared" si="6"/>
        <v>0</v>
      </c>
      <c r="T28" s="2">
        <f t="shared" si="7"/>
        <v>1.4436692970020812</v>
      </c>
    </row>
    <row r="29" spans="1:20" x14ac:dyDescent="0.25">
      <c r="A29" t="s">
        <v>48</v>
      </c>
      <c r="B29">
        <v>8808829</v>
      </c>
      <c r="C29">
        <v>262384</v>
      </c>
      <c r="D29">
        <v>43627</v>
      </c>
      <c r="G29">
        <f t="shared" si="0"/>
        <v>2.9786478997378654E-2</v>
      </c>
      <c r="H29">
        <f t="shared" si="1"/>
        <v>4.952644670477767E-3</v>
      </c>
      <c r="K29">
        <f t="shared" si="2"/>
        <v>2.4144278264442411E-2</v>
      </c>
      <c r="L29">
        <f t="shared" si="3"/>
        <v>4.952644670477767E-3</v>
      </c>
      <c r="N29">
        <f t="shared" si="4"/>
        <v>2.9096922934920177E-2</v>
      </c>
      <c r="Q29" s="1">
        <f t="shared" si="5"/>
        <v>0.82978802667364071</v>
      </c>
      <c r="R29" s="1">
        <f t="shared" si="6"/>
        <v>0.17021197332635937</v>
      </c>
      <c r="T29" s="2">
        <f t="shared" si="7"/>
        <v>0.32372626327638937</v>
      </c>
    </row>
    <row r="30" spans="1:20" x14ac:dyDescent="0.25">
      <c r="A30" t="s">
        <v>49</v>
      </c>
      <c r="B30">
        <v>8315372</v>
      </c>
      <c r="C30">
        <v>102570</v>
      </c>
      <c r="D30">
        <v>0</v>
      </c>
      <c r="G30">
        <f t="shared" si="0"/>
        <v>1.2334986336149482E-2</v>
      </c>
      <c r="H30">
        <f t="shared" si="1"/>
        <v>0</v>
      </c>
      <c r="K30">
        <f t="shared" si="2"/>
        <v>6.6927856032132386E-3</v>
      </c>
      <c r="L30">
        <f t="shared" si="3"/>
        <v>0</v>
      </c>
      <c r="N30">
        <f t="shared" si="4"/>
        <v>6.6927856032132386E-3</v>
      </c>
      <c r="Q30" s="1">
        <f t="shared" si="5"/>
        <v>1</v>
      </c>
      <c r="R30" s="1">
        <f t="shared" si="6"/>
        <v>0</v>
      </c>
      <c r="T30" s="2">
        <f t="shared" si="7"/>
        <v>7.4462529219472634E-2</v>
      </c>
    </row>
    <row r="31" spans="1:20" x14ac:dyDescent="0.25">
      <c r="A31" t="s">
        <v>50</v>
      </c>
      <c r="B31">
        <v>8799153</v>
      </c>
      <c r="C31">
        <v>1710275</v>
      </c>
      <c r="D31">
        <v>38362</v>
      </c>
      <c r="G31">
        <f t="shared" si="0"/>
        <v>0.19436813975163292</v>
      </c>
      <c r="H31">
        <f t="shared" si="1"/>
        <v>4.3597378065820657E-3</v>
      </c>
      <c r="K31">
        <f t="shared" si="2"/>
        <v>0.18872593901869666</v>
      </c>
      <c r="L31">
        <f t="shared" si="3"/>
        <v>4.3597378065820657E-3</v>
      </c>
      <c r="N31">
        <f t="shared" si="4"/>
        <v>0.19308567682527872</v>
      </c>
      <c r="Q31" s="1">
        <f t="shared" si="5"/>
        <v>0.97742070837016493</v>
      </c>
      <c r="R31" s="1">
        <f t="shared" si="6"/>
        <v>2.2579291629835126E-2</v>
      </c>
      <c r="T31" s="3">
        <f t="shared" si="7"/>
        <v>2.1482307524629491</v>
      </c>
    </row>
    <row r="32" spans="1:20" x14ac:dyDescent="0.25">
      <c r="A32" t="s">
        <v>51</v>
      </c>
      <c r="B32">
        <v>8823153</v>
      </c>
      <c r="C32">
        <v>343982</v>
      </c>
      <c r="D32">
        <v>23303</v>
      </c>
      <c r="G32">
        <f t="shared" si="0"/>
        <v>3.8986289821790462E-2</v>
      </c>
      <c r="H32">
        <f t="shared" si="1"/>
        <v>2.6411193368175755E-3</v>
      </c>
      <c r="K32">
        <f t="shared" si="2"/>
        <v>3.3344089088854216E-2</v>
      </c>
      <c r="L32">
        <f t="shared" si="3"/>
        <v>2.6411193368175755E-3</v>
      </c>
      <c r="N32">
        <f t="shared" si="4"/>
        <v>3.5985208425671794E-2</v>
      </c>
      <c r="Q32" s="1">
        <f t="shared" si="5"/>
        <v>0.92660541782680328</v>
      </c>
      <c r="R32" s="1">
        <f t="shared" si="6"/>
        <v>7.339458217319661E-2</v>
      </c>
      <c r="T32" s="2">
        <f t="shared" si="7"/>
        <v>0.40036388325048605</v>
      </c>
    </row>
    <row r="33" spans="1:20" x14ac:dyDescent="0.25">
      <c r="A33" t="s">
        <v>52</v>
      </c>
      <c r="B33">
        <v>9059943</v>
      </c>
      <c r="C33">
        <v>73630</v>
      </c>
      <c r="D33">
        <v>0</v>
      </c>
      <c r="G33">
        <f t="shared" si="0"/>
        <v>8.1269826973525104E-3</v>
      </c>
      <c r="H33">
        <f t="shared" si="1"/>
        <v>0</v>
      </c>
      <c r="K33">
        <f t="shared" si="2"/>
        <v>2.4847819644162666E-3</v>
      </c>
      <c r="L33">
        <f t="shared" si="3"/>
        <v>0</v>
      </c>
      <c r="N33">
        <f t="shared" si="4"/>
        <v>2.4847819644162666E-3</v>
      </c>
      <c r="Q33" s="1">
        <f t="shared" si="5"/>
        <v>1</v>
      </c>
      <c r="R33" s="1">
        <f t="shared" si="6"/>
        <v>0</v>
      </c>
      <c r="T33" s="2">
        <f t="shared" si="7"/>
        <v>2.7645163105259843E-2</v>
      </c>
    </row>
    <row r="34" spans="1:20" x14ac:dyDescent="0.25">
      <c r="A34" t="s">
        <v>53</v>
      </c>
      <c r="B34">
        <v>8884027</v>
      </c>
      <c r="C34">
        <v>96643</v>
      </c>
      <c r="D34">
        <v>0</v>
      </c>
      <c r="G34">
        <f t="shared" si="0"/>
        <v>1.0878287515335107E-2</v>
      </c>
      <c r="H34">
        <f t="shared" si="1"/>
        <v>0</v>
      </c>
      <c r="K34">
        <f t="shared" si="2"/>
        <v>5.2360867823988628E-3</v>
      </c>
      <c r="L34">
        <f t="shared" si="3"/>
        <v>0</v>
      </c>
      <c r="N34">
        <f t="shared" si="4"/>
        <v>5.2360867823988628E-3</v>
      </c>
      <c r="Q34" s="1">
        <f t="shared" si="5"/>
        <v>1</v>
      </c>
      <c r="R34" s="1">
        <f t="shared" si="6"/>
        <v>0</v>
      </c>
      <c r="T34" s="2">
        <f t="shared" si="7"/>
        <v>5.8255603592453437E-2</v>
      </c>
    </row>
    <row r="35" spans="1:20" x14ac:dyDescent="0.25">
      <c r="A35" t="s">
        <v>54</v>
      </c>
      <c r="B35">
        <v>8727822</v>
      </c>
      <c r="C35">
        <v>54733</v>
      </c>
      <c r="D35">
        <v>0</v>
      </c>
      <c r="G35">
        <f t="shared" si="0"/>
        <v>6.2710948962982974E-3</v>
      </c>
      <c r="H35">
        <f t="shared" si="1"/>
        <v>0</v>
      </c>
      <c r="K35">
        <f t="shared" si="2"/>
        <v>6.2889416336205355E-4</v>
      </c>
      <c r="L35">
        <f t="shared" si="3"/>
        <v>0</v>
      </c>
      <c r="N35">
        <f t="shared" si="4"/>
        <v>6.2889416336205355E-4</v>
      </c>
      <c r="Q35" s="1">
        <f t="shared" si="5"/>
        <v>1</v>
      </c>
      <c r="R35" s="1">
        <f t="shared" si="6"/>
        <v>0</v>
      </c>
      <c r="T35" s="2">
        <f t="shared" si="7"/>
        <v>6.9969445895323255E-3</v>
      </c>
    </row>
    <row r="36" spans="1:20" x14ac:dyDescent="0.25">
      <c r="A36" t="s">
        <v>55</v>
      </c>
      <c r="B36">
        <v>9151991</v>
      </c>
      <c r="C36">
        <v>62652</v>
      </c>
      <c r="D36">
        <v>0</v>
      </c>
      <c r="G36">
        <f t="shared" si="0"/>
        <v>6.8457235152438413E-3</v>
      </c>
      <c r="H36">
        <f t="shared" si="1"/>
        <v>0</v>
      </c>
      <c r="K36">
        <f t="shared" si="2"/>
        <v>1.2035227823075974E-3</v>
      </c>
      <c r="L36">
        <f t="shared" si="3"/>
        <v>0</v>
      </c>
      <c r="N36">
        <f t="shared" si="4"/>
        <v>1.2035227823075974E-3</v>
      </c>
      <c r="Q36" s="1">
        <f t="shared" si="5"/>
        <v>1</v>
      </c>
      <c r="R36" s="1">
        <f t="shared" si="6"/>
        <v>0</v>
      </c>
      <c r="T36" s="2">
        <f t="shared" si="7"/>
        <v>1.339014211076099E-2</v>
      </c>
    </row>
    <row r="37" spans="1:20" x14ac:dyDescent="0.25">
      <c r="A37" t="s">
        <v>56</v>
      </c>
      <c r="B37">
        <v>8937103</v>
      </c>
      <c r="C37">
        <v>3005781</v>
      </c>
      <c r="D37">
        <v>31860</v>
      </c>
      <c r="G37">
        <f t="shared" si="0"/>
        <v>0.33632610030342047</v>
      </c>
      <c r="H37">
        <f t="shared" si="1"/>
        <v>3.5649135967214434E-3</v>
      </c>
      <c r="K37">
        <f t="shared" si="2"/>
        <v>0.33068389957048422</v>
      </c>
      <c r="L37">
        <f t="shared" si="3"/>
        <v>3.5649135967214434E-3</v>
      </c>
      <c r="N37">
        <f t="shared" si="4"/>
        <v>0.33424881316720567</v>
      </c>
      <c r="Q37" s="1">
        <f t="shared" si="5"/>
        <v>0.9893345512196684</v>
      </c>
      <c r="R37" s="1">
        <f t="shared" si="6"/>
        <v>1.0665448780331554E-2</v>
      </c>
      <c r="T37" s="3">
        <f t="shared" si="7"/>
        <v>3.7187822070809751</v>
      </c>
    </row>
    <row r="38" spans="1:20" x14ac:dyDescent="0.25">
      <c r="A38" t="s">
        <v>57</v>
      </c>
      <c r="B38">
        <v>8949402</v>
      </c>
      <c r="C38">
        <v>241059</v>
      </c>
      <c r="D38">
        <v>0</v>
      </c>
      <c r="G38">
        <f t="shared" si="0"/>
        <v>2.6935766210971414E-2</v>
      </c>
      <c r="H38">
        <f t="shared" si="1"/>
        <v>0</v>
      </c>
      <c r="K38">
        <f t="shared" si="2"/>
        <v>2.1293565478035171E-2</v>
      </c>
      <c r="L38">
        <f t="shared" si="3"/>
        <v>0</v>
      </c>
      <c r="N38">
        <f t="shared" si="4"/>
        <v>2.1293565478035171E-2</v>
      </c>
      <c r="Q38" s="1">
        <f t="shared" si="5"/>
        <v>1</v>
      </c>
      <c r="R38" s="1">
        <f t="shared" si="6"/>
        <v>0</v>
      </c>
      <c r="T38" s="2">
        <f t="shared" si="7"/>
        <v>0.23690774448739352</v>
      </c>
    </row>
    <row r="39" spans="1:20" x14ac:dyDescent="0.25">
      <c r="A39" t="s">
        <v>58</v>
      </c>
      <c r="B39">
        <v>8747725</v>
      </c>
      <c r="C39">
        <v>83107</v>
      </c>
      <c r="D39">
        <v>0</v>
      </c>
      <c r="G39">
        <f t="shared" si="0"/>
        <v>9.5004129645136302E-3</v>
      </c>
      <c r="H39">
        <f t="shared" si="1"/>
        <v>0</v>
      </c>
      <c r="K39">
        <f t="shared" si="2"/>
        <v>3.8582122315773864E-3</v>
      </c>
      <c r="L39">
        <f t="shared" si="3"/>
        <v>0</v>
      </c>
      <c r="N39">
        <f t="shared" si="4"/>
        <v>3.8582122315773864E-3</v>
      </c>
      <c r="Q39" s="1">
        <f t="shared" si="5"/>
        <v>1</v>
      </c>
      <c r="R39" s="1">
        <f t="shared" si="6"/>
        <v>0</v>
      </c>
      <c r="T39" s="2">
        <f t="shared" si="7"/>
        <v>4.2925660264812232E-2</v>
      </c>
    </row>
    <row r="40" spans="1:20" x14ac:dyDescent="0.25">
      <c r="A40" t="s">
        <v>59</v>
      </c>
      <c r="B40">
        <v>8952257</v>
      </c>
      <c r="C40">
        <v>100154</v>
      </c>
      <c r="D40">
        <v>0</v>
      </c>
      <c r="G40">
        <f t="shared" si="0"/>
        <v>1.1187569793851986E-2</v>
      </c>
      <c r="H40">
        <f t="shared" si="1"/>
        <v>0</v>
      </c>
      <c r="K40">
        <f t="shared" si="2"/>
        <v>5.5453690609157417E-3</v>
      </c>
      <c r="L40">
        <f t="shared" si="3"/>
        <v>0</v>
      </c>
      <c r="N40">
        <f t="shared" si="4"/>
        <v>5.5453690609157417E-3</v>
      </c>
      <c r="Q40" s="1">
        <f t="shared" si="5"/>
        <v>1</v>
      </c>
      <c r="R40" s="1">
        <f t="shared" si="6"/>
        <v>0</v>
      </c>
      <c r="T40" s="2">
        <f t="shared" si="7"/>
        <v>6.1696613370216438E-2</v>
      </c>
    </row>
    <row r="41" spans="1:20" x14ac:dyDescent="0.25">
      <c r="A41" t="s">
        <v>60</v>
      </c>
      <c r="B41">
        <v>9081520</v>
      </c>
      <c r="C41">
        <v>462624</v>
      </c>
      <c r="D41">
        <v>0</v>
      </c>
      <c r="G41">
        <f t="shared" si="0"/>
        <v>5.0941252125194902E-2</v>
      </c>
      <c r="H41">
        <f t="shared" si="1"/>
        <v>0</v>
      </c>
      <c r="K41">
        <f t="shared" si="2"/>
        <v>4.5299051392258656E-2</v>
      </c>
      <c r="L41">
        <f t="shared" si="3"/>
        <v>0</v>
      </c>
      <c r="N41">
        <f t="shared" si="4"/>
        <v>4.5299051392258656E-2</v>
      </c>
      <c r="Q41" s="1">
        <f t="shared" si="5"/>
        <v>1</v>
      </c>
      <c r="R41" s="1">
        <f t="shared" si="6"/>
        <v>0</v>
      </c>
      <c r="T41" s="2">
        <f t="shared" si="7"/>
        <v>0.50398774708859939</v>
      </c>
    </row>
    <row r="42" spans="1:20" x14ac:dyDescent="0.25">
      <c r="A42" t="s">
        <v>61</v>
      </c>
      <c r="B42">
        <v>8685431</v>
      </c>
      <c r="C42">
        <v>58241</v>
      </c>
      <c r="D42">
        <v>0</v>
      </c>
      <c r="G42">
        <f t="shared" si="0"/>
        <v>6.7055969934019391E-3</v>
      </c>
      <c r="H42">
        <f t="shared" si="1"/>
        <v>0</v>
      </c>
      <c r="K42">
        <f t="shared" si="2"/>
        <v>1.0633962604656953E-3</v>
      </c>
      <c r="L42">
        <f t="shared" si="3"/>
        <v>0</v>
      </c>
      <c r="N42">
        <f t="shared" si="4"/>
        <v>1.0633962604656953E-3</v>
      </c>
      <c r="Q42" s="1">
        <f t="shared" si="5"/>
        <v>1</v>
      </c>
      <c r="R42" s="1">
        <f t="shared" si="6"/>
        <v>0</v>
      </c>
      <c r="T42" s="2">
        <f t="shared" si="7"/>
        <v>1.1831123811703837E-2</v>
      </c>
    </row>
    <row r="43" spans="1:20" x14ac:dyDescent="0.25">
      <c r="A43" t="s">
        <v>62</v>
      </c>
      <c r="B43">
        <v>8550692</v>
      </c>
      <c r="C43">
        <v>63235</v>
      </c>
      <c r="D43">
        <v>0</v>
      </c>
      <c r="G43">
        <f t="shared" si="0"/>
        <v>7.3953078885311274E-3</v>
      </c>
      <c r="H43">
        <f t="shared" si="1"/>
        <v>0</v>
      </c>
      <c r="K43">
        <f t="shared" si="2"/>
        <v>1.7531071555948836E-3</v>
      </c>
      <c r="L43">
        <f t="shared" si="3"/>
        <v>0</v>
      </c>
      <c r="N43">
        <f t="shared" si="4"/>
        <v>1.7531071555948836E-3</v>
      </c>
      <c r="Q43" s="1">
        <f t="shared" si="5"/>
        <v>1</v>
      </c>
      <c r="R43" s="1">
        <f t="shared" si="6"/>
        <v>0</v>
      </c>
      <c r="T43" s="2">
        <f t="shared" si="7"/>
        <v>1.950470260629256E-2</v>
      </c>
    </row>
    <row r="44" spans="1:20" x14ac:dyDescent="0.25">
      <c r="A44" t="s">
        <v>63</v>
      </c>
      <c r="B44">
        <v>8668646</v>
      </c>
      <c r="C44">
        <v>117578</v>
      </c>
      <c r="D44">
        <v>0</v>
      </c>
      <c r="G44">
        <f t="shared" si="0"/>
        <v>1.3563594591358327E-2</v>
      </c>
      <c r="H44">
        <f t="shared" si="1"/>
        <v>0</v>
      </c>
      <c r="K44">
        <f t="shared" si="2"/>
        <v>7.9213938584220822E-3</v>
      </c>
      <c r="L44">
        <f t="shared" si="3"/>
        <v>0</v>
      </c>
      <c r="N44">
        <f t="shared" si="4"/>
        <v>7.9213938584220822E-3</v>
      </c>
      <c r="Q44" s="1">
        <f t="shared" si="5"/>
        <v>1</v>
      </c>
      <c r="R44" s="1">
        <f t="shared" si="6"/>
        <v>0</v>
      </c>
      <c r="T44" s="2">
        <f t="shared" si="7"/>
        <v>8.8131767041591327E-2</v>
      </c>
    </row>
    <row r="45" spans="1:20" x14ac:dyDescent="0.25">
      <c r="A45" t="s">
        <v>64</v>
      </c>
      <c r="B45">
        <v>8718453</v>
      </c>
      <c r="C45">
        <v>124702</v>
      </c>
      <c r="D45">
        <v>0</v>
      </c>
      <c r="G45">
        <f t="shared" si="0"/>
        <v>1.4303225583713074E-2</v>
      </c>
      <c r="H45">
        <f t="shared" si="1"/>
        <v>0</v>
      </c>
      <c r="K45">
        <f t="shared" si="2"/>
        <v>8.6610248507768307E-3</v>
      </c>
      <c r="L45">
        <f t="shared" si="3"/>
        <v>0</v>
      </c>
      <c r="N45">
        <f t="shared" si="4"/>
        <v>8.6610248507768307E-3</v>
      </c>
      <c r="Q45" s="1">
        <f t="shared" si="5"/>
        <v>1</v>
      </c>
      <c r="R45" s="1">
        <f t="shared" si="6"/>
        <v>0</v>
      </c>
      <c r="T45" s="2">
        <f t="shared" si="7"/>
        <v>9.6360746370228609E-2</v>
      </c>
    </row>
    <row r="46" spans="1:20" x14ac:dyDescent="0.25">
      <c r="A46" t="s">
        <v>65</v>
      </c>
      <c r="B46">
        <v>8528880</v>
      </c>
      <c r="C46">
        <v>117874</v>
      </c>
      <c r="D46">
        <v>75555</v>
      </c>
      <c r="G46">
        <f t="shared" si="0"/>
        <v>1.3820571986005196E-2</v>
      </c>
      <c r="H46">
        <f t="shared" si="1"/>
        <v>8.8587247094577479E-3</v>
      </c>
      <c r="K46">
        <f t="shared" si="2"/>
        <v>8.1783712530689515E-3</v>
      </c>
      <c r="L46">
        <f t="shared" si="3"/>
        <v>8.8587247094577479E-3</v>
      </c>
      <c r="N46">
        <f t="shared" si="4"/>
        <v>1.7037095962526699E-2</v>
      </c>
      <c r="Q46" s="1">
        <f t="shared" si="5"/>
        <v>0.48003317414290436</v>
      </c>
      <c r="R46" s="1">
        <f t="shared" si="6"/>
        <v>0.51996682585709564</v>
      </c>
      <c r="T46" s="2">
        <f t="shared" si="7"/>
        <v>0.1895511571916379</v>
      </c>
    </row>
    <row r="47" spans="1:20" x14ac:dyDescent="0.25">
      <c r="A47" t="s">
        <v>66</v>
      </c>
      <c r="B47">
        <v>8924857</v>
      </c>
      <c r="C47">
        <v>74261</v>
      </c>
      <c r="D47">
        <v>0</v>
      </c>
      <c r="G47">
        <f t="shared" si="0"/>
        <v>8.3206935416444208E-3</v>
      </c>
      <c r="H47">
        <f t="shared" si="1"/>
        <v>0</v>
      </c>
      <c r="K47">
        <f t="shared" si="2"/>
        <v>2.678492808708177E-3</v>
      </c>
      <c r="L47">
        <f t="shared" si="3"/>
        <v>0</v>
      </c>
      <c r="N47">
        <f t="shared" si="4"/>
        <v>2.678492808708177E-3</v>
      </c>
      <c r="Q47" s="1">
        <f t="shared" si="5"/>
        <v>1</v>
      </c>
      <c r="R47" s="1">
        <f t="shared" si="6"/>
        <v>0</v>
      </c>
      <c r="T47" s="2">
        <f t="shared" si="7"/>
        <v>2.9800349339865952E-2</v>
      </c>
    </row>
    <row r="48" spans="1:20" x14ac:dyDescent="0.25">
      <c r="A48" t="s">
        <v>67</v>
      </c>
      <c r="B48">
        <v>8880197</v>
      </c>
      <c r="C48">
        <v>172236</v>
      </c>
      <c r="D48">
        <v>184020</v>
      </c>
      <c r="G48">
        <f t="shared" si="0"/>
        <v>1.9395515662546676E-2</v>
      </c>
      <c r="H48">
        <f t="shared" si="1"/>
        <v>2.0722513250550634E-2</v>
      </c>
      <c r="K48">
        <f t="shared" si="2"/>
        <v>1.3753314929610433E-2</v>
      </c>
      <c r="L48">
        <f t="shared" si="3"/>
        <v>2.0722513250550634E-2</v>
      </c>
      <c r="N48">
        <f t="shared" si="4"/>
        <v>3.4475828180161067E-2</v>
      </c>
      <c r="Q48" s="1">
        <f t="shared" si="5"/>
        <v>0.39892631027569353</v>
      </c>
      <c r="R48" s="1">
        <f t="shared" si="6"/>
        <v>0.60107368972430641</v>
      </c>
      <c r="T48" s="2">
        <f t="shared" si="7"/>
        <v>0.38357083513899759</v>
      </c>
    </row>
    <row r="49" spans="1:20" x14ac:dyDescent="0.25">
      <c r="A49" t="s">
        <v>68</v>
      </c>
      <c r="B49">
        <v>8318167</v>
      </c>
      <c r="C49">
        <v>91987</v>
      </c>
      <c r="D49">
        <v>0</v>
      </c>
      <c r="G49">
        <f t="shared" si="0"/>
        <v>1.1058566148046799E-2</v>
      </c>
      <c r="H49">
        <f t="shared" si="1"/>
        <v>0</v>
      </c>
      <c r="K49">
        <f t="shared" si="2"/>
        <v>5.4163654151105555E-3</v>
      </c>
      <c r="L49">
        <f t="shared" si="3"/>
        <v>0</v>
      </c>
      <c r="N49">
        <f t="shared" si="4"/>
        <v>5.4163654151105555E-3</v>
      </c>
      <c r="Q49" s="1">
        <f t="shared" si="5"/>
        <v>1</v>
      </c>
      <c r="R49" s="1">
        <f t="shared" si="6"/>
        <v>0</v>
      </c>
      <c r="T49" s="2">
        <f t="shared" si="7"/>
        <v>6.0261345857601761E-2</v>
      </c>
    </row>
    <row r="50" spans="1:20" x14ac:dyDescent="0.25">
      <c r="A50" t="s">
        <v>69</v>
      </c>
      <c r="B50">
        <v>8958629</v>
      </c>
      <c r="C50">
        <v>73940</v>
      </c>
      <c r="D50">
        <v>0</v>
      </c>
      <c r="G50">
        <f t="shared" si="0"/>
        <v>8.2534950381358569E-3</v>
      </c>
      <c r="H50">
        <f t="shared" si="1"/>
        <v>0</v>
      </c>
      <c r="K50">
        <f t="shared" si="2"/>
        <v>2.6112943051996131E-3</v>
      </c>
      <c r="L50">
        <f t="shared" si="3"/>
        <v>0</v>
      </c>
      <c r="N50">
        <f t="shared" si="4"/>
        <v>2.6112943051996131E-3</v>
      </c>
      <c r="Q50" s="1">
        <f t="shared" si="5"/>
        <v>1</v>
      </c>
      <c r="R50" s="1">
        <f t="shared" si="6"/>
        <v>0</v>
      </c>
      <c r="T50" s="2">
        <f t="shared" si="7"/>
        <v>2.9052712880600177E-2</v>
      </c>
    </row>
    <row r="51" spans="1:20" x14ac:dyDescent="0.25">
      <c r="A51" t="s">
        <v>70</v>
      </c>
      <c r="B51">
        <v>8712440</v>
      </c>
      <c r="C51">
        <v>58422</v>
      </c>
      <c r="D51">
        <v>0</v>
      </c>
      <c r="G51">
        <f t="shared" si="0"/>
        <v>6.7055841991451306E-3</v>
      </c>
      <c r="H51">
        <f t="shared" si="1"/>
        <v>0</v>
      </c>
      <c r="K51">
        <f t="shared" si="2"/>
        <v>1.0633834662088868E-3</v>
      </c>
      <c r="L51">
        <f t="shared" si="3"/>
        <v>0</v>
      </c>
      <c r="N51">
        <f t="shared" si="4"/>
        <v>1.0633834662088868E-3</v>
      </c>
      <c r="Q51" s="1">
        <f t="shared" si="5"/>
        <v>1</v>
      </c>
      <c r="R51" s="1">
        <f t="shared" si="6"/>
        <v>0</v>
      </c>
      <c r="T51" s="2">
        <f t="shared" si="7"/>
        <v>1.1830981465485398E-2</v>
      </c>
    </row>
    <row r="52" spans="1:20" x14ac:dyDescent="0.25">
      <c r="A52" t="s">
        <v>71</v>
      </c>
      <c r="B52">
        <v>9020077</v>
      </c>
      <c r="C52">
        <v>81586</v>
      </c>
      <c r="D52">
        <v>0</v>
      </c>
      <c r="G52">
        <f t="shared" si="0"/>
        <v>9.0449338736243601E-3</v>
      </c>
      <c r="H52">
        <f t="shared" si="1"/>
        <v>0</v>
      </c>
      <c r="K52">
        <f t="shared" si="2"/>
        <v>3.4027331406881163E-3</v>
      </c>
      <c r="L52">
        <f t="shared" si="3"/>
        <v>0</v>
      </c>
      <c r="N52">
        <f t="shared" si="4"/>
        <v>3.4027331406881163E-3</v>
      </c>
      <c r="Q52" s="1">
        <f t="shared" si="5"/>
        <v>1</v>
      </c>
      <c r="R52" s="1">
        <f t="shared" si="6"/>
        <v>0</v>
      </c>
      <c r="T52" s="2">
        <f t="shared" si="7"/>
        <v>3.785809540842152E-2</v>
      </c>
    </row>
    <row r="53" spans="1:20" x14ac:dyDescent="0.25">
      <c r="A53" t="s">
        <v>72</v>
      </c>
      <c r="B53">
        <v>8239203</v>
      </c>
      <c r="C53">
        <v>327376</v>
      </c>
      <c r="D53">
        <v>0</v>
      </c>
      <c r="G53">
        <f t="shared" si="0"/>
        <v>3.9733940285243609E-2</v>
      </c>
      <c r="H53">
        <f t="shared" si="1"/>
        <v>0</v>
      </c>
      <c r="K53">
        <f t="shared" si="2"/>
        <v>3.4091739552307362E-2</v>
      </c>
      <c r="L53">
        <f t="shared" si="3"/>
        <v>0</v>
      </c>
      <c r="N53">
        <f t="shared" si="4"/>
        <v>3.4091739552307362E-2</v>
      </c>
      <c r="Q53" s="1">
        <f t="shared" si="5"/>
        <v>1</v>
      </c>
      <c r="R53" s="1">
        <f t="shared" si="6"/>
        <v>0</v>
      </c>
      <c r="T53" s="2">
        <f t="shared" si="7"/>
        <v>0.3792975456045633</v>
      </c>
    </row>
    <row r="54" spans="1:20" x14ac:dyDescent="0.25">
      <c r="A54" t="s">
        <v>9</v>
      </c>
      <c r="B54">
        <v>9194162</v>
      </c>
      <c r="C54">
        <v>846727</v>
      </c>
      <c r="D54">
        <v>0</v>
      </c>
      <c r="G54">
        <f t="shared" si="0"/>
        <v>9.2093983116677741E-2</v>
      </c>
      <c r="H54">
        <f t="shared" si="1"/>
        <v>0</v>
      </c>
      <c r="K54">
        <f t="shared" si="2"/>
        <v>8.6451782383741502E-2</v>
      </c>
      <c r="L54">
        <f t="shared" si="3"/>
        <v>0</v>
      </c>
      <c r="N54">
        <f t="shared" si="4"/>
        <v>8.6451782383741502E-2</v>
      </c>
      <c r="Q54" s="1">
        <f t="shared" si="5"/>
        <v>1</v>
      </c>
      <c r="R54" s="1">
        <f t="shared" si="6"/>
        <v>0</v>
      </c>
      <c r="T54" s="2">
        <f t="shared" si="7"/>
        <v>0.96184440283492811</v>
      </c>
    </row>
    <row r="55" spans="1:20" x14ac:dyDescent="0.25">
      <c r="A55" t="s">
        <v>9</v>
      </c>
      <c r="B55">
        <v>9162415</v>
      </c>
      <c r="C55">
        <v>920714</v>
      </c>
      <c r="D55">
        <v>0</v>
      </c>
      <c r="G55">
        <f t="shared" si="0"/>
        <v>0.1004881354970278</v>
      </c>
      <c r="H55">
        <f t="shared" si="1"/>
        <v>0</v>
      </c>
      <c r="K55">
        <f t="shared" si="2"/>
        <v>9.4845934764091561E-2</v>
      </c>
      <c r="L55">
        <f t="shared" si="3"/>
        <v>0</v>
      </c>
      <c r="N55">
        <f t="shared" si="4"/>
        <v>9.4845934764091561E-2</v>
      </c>
      <c r="Q55" s="1">
        <f t="shared" si="5"/>
        <v>1</v>
      </c>
      <c r="R55" s="1">
        <f t="shared" si="6"/>
        <v>0</v>
      </c>
      <c r="T55" s="2">
        <f t="shared" si="7"/>
        <v>1.0552359820593444</v>
      </c>
    </row>
    <row r="56" spans="1:20" x14ac:dyDescent="0.25">
      <c r="A56" t="s">
        <v>9</v>
      </c>
      <c r="B56">
        <v>8946629</v>
      </c>
      <c r="C56">
        <v>840878</v>
      </c>
      <c r="D56">
        <v>0</v>
      </c>
      <c r="G56">
        <f t="shared" si="0"/>
        <v>9.3988249652466868E-2</v>
      </c>
      <c r="H56">
        <f t="shared" si="1"/>
        <v>0</v>
      </c>
      <c r="K56">
        <f t="shared" si="2"/>
        <v>8.8346048919530629E-2</v>
      </c>
      <c r="L56">
        <f t="shared" si="3"/>
        <v>0</v>
      </c>
      <c r="N56">
        <f t="shared" si="4"/>
        <v>8.8346048919530629E-2</v>
      </c>
      <c r="Q56" s="1">
        <f t="shared" si="5"/>
        <v>1</v>
      </c>
      <c r="R56" s="1">
        <f t="shared" si="6"/>
        <v>0</v>
      </c>
      <c r="T56" s="2">
        <f t="shared" si="7"/>
        <v>0.98291961510572723</v>
      </c>
    </row>
    <row r="57" spans="1:20" x14ac:dyDescent="0.25">
      <c r="A57" t="s">
        <v>10</v>
      </c>
      <c r="B57">
        <v>9123843</v>
      </c>
      <c r="C57">
        <v>41053</v>
      </c>
      <c r="D57">
        <v>0</v>
      </c>
      <c r="G57">
        <f t="shared" si="0"/>
        <v>4.4995294197850621E-3</v>
      </c>
      <c r="H57">
        <f t="shared" si="1"/>
        <v>0</v>
      </c>
      <c r="K57">
        <v>0</v>
      </c>
      <c r="L57">
        <f t="shared" si="3"/>
        <v>0</v>
      </c>
      <c r="N57">
        <f t="shared" si="4"/>
        <v>0</v>
      </c>
      <c r="Q57" s="1">
        <v>0</v>
      </c>
      <c r="R57" s="1">
        <v>0</v>
      </c>
      <c r="T57" s="2"/>
    </row>
    <row r="58" spans="1:20" x14ac:dyDescent="0.25">
      <c r="A58" t="s">
        <v>10</v>
      </c>
      <c r="B58">
        <v>9343286</v>
      </c>
      <c r="C58">
        <v>63393</v>
      </c>
      <c r="D58">
        <v>0</v>
      </c>
      <c r="G58">
        <f t="shared" si="0"/>
        <v>6.7848720460874255E-3</v>
      </c>
      <c r="H58">
        <f t="shared" si="1"/>
        <v>0</v>
      </c>
      <c r="K58">
        <v>0</v>
      </c>
      <c r="L58">
        <f t="shared" si="3"/>
        <v>0</v>
      </c>
      <c r="N58">
        <f t="shared" si="4"/>
        <v>0</v>
      </c>
      <c r="Q58" s="1">
        <v>0</v>
      </c>
      <c r="R58" s="1">
        <v>0</v>
      </c>
      <c r="T58" s="2"/>
    </row>
    <row r="59" spans="1:20" x14ac:dyDescent="0.25">
      <c r="A59" t="s">
        <v>11</v>
      </c>
      <c r="B59">
        <v>9214481</v>
      </c>
      <c r="C59">
        <v>432370</v>
      </c>
      <c r="D59">
        <v>0</v>
      </c>
      <c r="G59">
        <f t="shared" si="0"/>
        <v>4.692288149489917E-2</v>
      </c>
      <c r="H59">
        <f t="shared" si="1"/>
        <v>0</v>
      </c>
      <c r="K59">
        <f t="shared" si="2"/>
        <v>4.1280680761962923E-2</v>
      </c>
      <c r="L59">
        <f t="shared" si="3"/>
        <v>0</v>
      </c>
      <c r="N59">
        <f t="shared" si="4"/>
        <v>4.1280680761962923E-2</v>
      </c>
      <c r="Q59" s="1">
        <f t="shared" si="5"/>
        <v>1</v>
      </c>
      <c r="R59" s="1">
        <f t="shared" si="6"/>
        <v>0</v>
      </c>
      <c r="T59" s="2">
        <f t="shared" si="7"/>
        <v>0.45928019806306203</v>
      </c>
    </row>
    <row r="60" spans="1:20" x14ac:dyDescent="0.25">
      <c r="T60" s="2"/>
    </row>
    <row r="61" spans="1:20" x14ac:dyDescent="0.25">
      <c r="A61" t="s">
        <v>13</v>
      </c>
      <c r="G61">
        <f>AVERAGE(G54:G56)</f>
        <v>9.5523456088724146E-2</v>
      </c>
      <c r="H61">
        <f>AVERAGE(H54:H56)</f>
        <v>0</v>
      </c>
      <c r="K61">
        <f>G61-$G$62</f>
        <v>8.9881255355787906E-2</v>
      </c>
      <c r="L61">
        <f t="shared" si="3"/>
        <v>0</v>
      </c>
      <c r="N61">
        <f t="shared" si="4"/>
        <v>8.9881255355787906E-2</v>
      </c>
      <c r="T61" s="2">
        <f t="shared" si="7"/>
        <v>1</v>
      </c>
    </row>
    <row r="62" spans="1:20" x14ac:dyDescent="0.25">
      <c r="A62" t="s">
        <v>12</v>
      </c>
      <c r="G62">
        <f>AVERAGE(G57:G58)</f>
        <v>5.6422007329362438E-3</v>
      </c>
      <c r="H62">
        <f>AVERAGE(H57:H58)</f>
        <v>0</v>
      </c>
      <c r="K62">
        <f t="shared" si="2"/>
        <v>0</v>
      </c>
      <c r="L62">
        <f t="shared" si="3"/>
        <v>0</v>
      </c>
      <c r="N62">
        <f t="shared" si="4"/>
        <v>0</v>
      </c>
    </row>
    <row r="64" spans="1:20" x14ac:dyDescent="0.25">
      <c r="A64" t="s">
        <v>22</v>
      </c>
    </row>
  </sheetData>
  <mergeCells count="3">
    <mergeCell ref="B1:D1"/>
    <mergeCell ref="F1:H1"/>
    <mergeCell ref="J1:L1"/>
  </mergeCells>
  <phoneticPr fontId="1" type="noConversion"/>
  <conditionalFormatting sqref="T4:T56">
    <cfRule type="colorScale" priority="3">
      <colorScale>
        <cfvo type="min"/>
        <cfvo type="max"/>
        <color theme="0"/>
        <color theme="1" tint="0.499984740745262"/>
      </colorScale>
    </cfRule>
  </conditionalFormatting>
  <conditionalFormatting sqref="Q4:Q59">
    <cfRule type="colorScale" priority="2">
      <colorScale>
        <cfvo type="min"/>
        <cfvo type="max"/>
        <color rgb="FFFCFCFF"/>
        <color rgb="FF63BE7B"/>
      </colorScale>
    </cfRule>
  </conditionalFormatting>
  <conditionalFormatting sqref="R4:R5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2212-A196-403C-A5DB-A825F85BB1D5}">
  <dimension ref="A1:D9"/>
  <sheetViews>
    <sheetView workbookViewId="0">
      <selection activeCell="C47" sqref="C47"/>
    </sheetView>
  </sheetViews>
  <sheetFormatPr defaultRowHeight="15" x14ac:dyDescent="0.25"/>
  <cols>
    <col min="1" max="1" width="10.85546875" bestFit="1" customWidth="1"/>
    <col min="2" max="2" width="22.42578125" bestFit="1" customWidth="1"/>
  </cols>
  <sheetData>
    <row r="1" spans="1:4" x14ac:dyDescent="0.25">
      <c r="B1" t="s">
        <v>14</v>
      </c>
      <c r="C1" t="s">
        <v>0</v>
      </c>
      <c r="D1" t="s">
        <v>1</v>
      </c>
    </row>
    <row r="2" spans="1:4" x14ac:dyDescent="0.25">
      <c r="C2">
        <v>16.899999999999999</v>
      </c>
      <c r="D2">
        <v>17.47</v>
      </c>
    </row>
    <row r="3" spans="1:4" x14ac:dyDescent="0.25">
      <c r="A3" t="s">
        <v>3</v>
      </c>
      <c r="B3" s="3">
        <v>7.0528871742285473</v>
      </c>
      <c r="C3" s="1">
        <v>0.8990537942105058</v>
      </c>
      <c r="D3" s="1">
        <v>0.10094620578949426</v>
      </c>
    </row>
    <row r="4" spans="1:4" x14ac:dyDescent="0.25">
      <c r="A4" t="s">
        <v>4</v>
      </c>
      <c r="B4" s="2">
        <v>1.2841798324123594</v>
      </c>
      <c r="C4" s="1">
        <v>1</v>
      </c>
      <c r="D4" s="1">
        <v>0</v>
      </c>
    </row>
    <row r="5" spans="1:4" x14ac:dyDescent="0.25">
      <c r="A5" t="s">
        <v>5</v>
      </c>
      <c r="B5" s="2">
        <v>1.3814185237407828</v>
      </c>
      <c r="C5" s="1">
        <v>1</v>
      </c>
      <c r="D5" s="1">
        <v>0</v>
      </c>
    </row>
    <row r="6" spans="1:4" x14ac:dyDescent="0.25">
      <c r="A6" t="s">
        <v>6</v>
      </c>
      <c r="B6" s="2">
        <v>1.4436692970020812</v>
      </c>
      <c r="C6" s="1">
        <v>1</v>
      </c>
      <c r="D6" s="1">
        <v>0</v>
      </c>
    </row>
    <row r="7" spans="1:4" x14ac:dyDescent="0.25">
      <c r="A7" t="s">
        <v>7</v>
      </c>
      <c r="B7" s="3">
        <v>2.1482307524629491</v>
      </c>
      <c r="C7" s="1">
        <v>0.97742070837016493</v>
      </c>
      <c r="D7" s="1">
        <v>2.2579291629835126E-2</v>
      </c>
    </row>
    <row r="8" spans="1:4" x14ac:dyDescent="0.25">
      <c r="A8" t="s">
        <v>8</v>
      </c>
      <c r="B8" s="3">
        <v>3.7187822070809751</v>
      </c>
      <c r="C8" s="1">
        <v>0.9893345512196684</v>
      </c>
      <c r="D8" s="1">
        <v>1.0665448780331554E-2</v>
      </c>
    </row>
    <row r="9" spans="1:4" x14ac:dyDescent="0.25">
      <c r="A9" t="s">
        <v>9</v>
      </c>
      <c r="B9" s="2">
        <v>0.96184440283492811</v>
      </c>
      <c r="C9" s="1">
        <v>1</v>
      </c>
      <c r="D9" s="1">
        <v>0</v>
      </c>
    </row>
  </sheetData>
  <conditionalFormatting sqref="B3:B9">
    <cfRule type="colorScale" priority="47">
      <colorScale>
        <cfvo type="min"/>
        <cfvo type="max"/>
        <color theme="0"/>
        <color theme="1" tint="0.499984740745262"/>
      </colorScale>
    </cfRule>
  </conditionalFormatting>
  <conditionalFormatting sqref="C3:C9">
    <cfRule type="colorScale" priority="48">
      <colorScale>
        <cfvo type="min"/>
        <cfvo type="max"/>
        <color rgb="FFFCFCFF"/>
        <color rgb="FF63BE7B"/>
      </colorScale>
    </cfRule>
  </conditionalFormatting>
  <conditionalFormatting sqref="D3:D9">
    <cfRule type="colorScale" priority="4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variants</vt:lpstr>
      <vt:lpstr>Best 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2023-08-23T09:07:36Z</dcterms:created>
  <dcterms:modified xsi:type="dcterms:W3CDTF">2024-08-30T15:54:16Z</dcterms:modified>
</cp:coreProperties>
</file>