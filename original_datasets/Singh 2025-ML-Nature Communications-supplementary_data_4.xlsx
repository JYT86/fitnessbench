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mani/Library/Application Support/Box/Box Edit/Documents/1675709039054/"/>
    </mc:Choice>
  </mc:AlternateContent>
  <xr:revisionPtr revIDLastSave="0" documentId="13_ncr:1_{0588E7DC-62EC-2248-960D-A3C51F86981F}" xr6:coauthVersionLast="47" xr6:coauthVersionMax="47" xr10:uidLastSave="{00000000-0000-0000-0000-000000000000}"/>
  <bookViews>
    <workbookView xWindow="0" yWindow="0" windowWidth="28800" windowHeight="18000" activeTab="5" xr2:uid="{F89053B6-C689-B642-B388-EE62BFAD7175}"/>
  </bookViews>
  <sheets>
    <sheet name="Round1_Plate1" sheetId="1" r:id="rId1"/>
    <sheet name="Round1_Plate2" sheetId="2" r:id="rId2"/>
    <sheet name="Round2" sheetId="3" r:id="rId3"/>
    <sheet name="Round3" sheetId="4" r:id="rId4"/>
    <sheet name="Round4" sheetId="5" r:id="rId5"/>
    <sheet name="SDMTemplates" sheetId="9" r:id="rId6"/>
    <sheet name="Summa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" l="1"/>
  <c r="O4" i="2"/>
  <c r="P4" i="2" s="1"/>
  <c r="O5" i="2"/>
  <c r="P5" i="2"/>
  <c r="O6" i="2"/>
  <c r="P6" i="2" s="1"/>
  <c r="O7" i="2"/>
  <c r="P7" i="2"/>
  <c r="O8" i="2"/>
  <c r="P8" i="2" s="1"/>
  <c r="O9" i="2"/>
  <c r="P9" i="2"/>
  <c r="O10" i="2"/>
  <c r="P10" i="2"/>
  <c r="O11" i="2"/>
  <c r="P11" i="2"/>
  <c r="O12" i="2"/>
  <c r="P12" i="2" s="1"/>
  <c r="O13" i="2"/>
  <c r="P13" i="2"/>
  <c r="O14" i="2"/>
  <c r="P14" i="2"/>
  <c r="O15" i="2"/>
  <c r="P15" i="2"/>
  <c r="O16" i="2"/>
  <c r="P16" i="2" s="1"/>
  <c r="O17" i="2"/>
  <c r="P17" i="2"/>
  <c r="O18" i="2"/>
  <c r="P18" i="2"/>
  <c r="O19" i="2"/>
  <c r="P19" i="2"/>
  <c r="O20" i="2"/>
  <c r="P20" i="2" s="1"/>
  <c r="O21" i="2"/>
  <c r="P21" i="2"/>
  <c r="O22" i="2"/>
  <c r="P22" i="2"/>
  <c r="O23" i="2"/>
  <c r="P23" i="2"/>
  <c r="O24" i="2"/>
  <c r="P24" i="2" s="1"/>
  <c r="O25" i="2"/>
  <c r="P25" i="2"/>
  <c r="O26" i="2"/>
  <c r="P26" i="2"/>
  <c r="O27" i="2"/>
  <c r="P27" i="2"/>
  <c r="O28" i="2"/>
  <c r="P28" i="2" s="1"/>
  <c r="O29" i="2"/>
  <c r="P29" i="2"/>
  <c r="O30" i="2"/>
  <c r="P30" i="2"/>
  <c r="O31" i="2"/>
  <c r="P31" i="2"/>
  <c r="O32" i="2"/>
  <c r="P32" i="2" s="1"/>
  <c r="O33" i="2"/>
  <c r="P33" i="2"/>
  <c r="O34" i="2"/>
  <c r="P34" i="2"/>
  <c r="O35" i="2"/>
  <c r="P35" i="2"/>
  <c r="O36" i="2"/>
  <c r="P36" i="2" s="1"/>
  <c r="O37" i="2"/>
  <c r="P37" i="2"/>
  <c r="O38" i="2"/>
  <c r="P38" i="2"/>
  <c r="O39" i="2"/>
  <c r="P39" i="2"/>
  <c r="O40" i="2"/>
  <c r="P40" i="2" s="1"/>
  <c r="O41" i="2"/>
  <c r="P41" i="2"/>
  <c r="O42" i="2"/>
  <c r="P42" i="2" s="1"/>
  <c r="O43" i="2"/>
  <c r="P43" i="2"/>
  <c r="O44" i="2"/>
  <c r="P44" i="2" s="1"/>
  <c r="O45" i="2"/>
  <c r="P45" i="2"/>
  <c r="O46" i="2"/>
  <c r="P46" i="2"/>
  <c r="O47" i="2"/>
  <c r="P47" i="2"/>
  <c r="O48" i="2"/>
  <c r="P48" i="2" s="1"/>
  <c r="O49" i="2"/>
  <c r="P49" i="2"/>
  <c r="O50" i="2"/>
  <c r="P50" i="2"/>
  <c r="O51" i="2"/>
  <c r="P51" i="2"/>
  <c r="O52" i="2"/>
  <c r="P52" i="2" s="1"/>
  <c r="O53" i="2"/>
  <c r="P53" i="2"/>
  <c r="O54" i="2"/>
  <c r="P54" i="2"/>
  <c r="O55" i="2"/>
  <c r="P55" i="2"/>
  <c r="O56" i="2"/>
  <c r="P56" i="2" s="1"/>
  <c r="O57" i="2"/>
  <c r="P57" i="2"/>
  <c r="O58" i="2"/>
  <c r="P58" i="2"/>
  <c r="O59" i="2"/>
  <c r="P59" i="2"/>
  <c r="O60" i="2"/>
  <c r="P60" i="2" s="1"/>
  <c r="O61" i="2"/>
  <c r="P61" i="2"/>
  <c r="O62" i="2"/>
  <c r="P62" i="2"/>
  <c r="O63" i="2"/>
  <c r="P63" i="2"/>
  <c r="O64" i="2"/>
  <c r="P64" i="2" s="1"/>
  <c r="O65" i="2"/>
  <c r="P65" i="2"/>
  <c r="O66" i="2"/>
  <c r="P66" i="2"/>
  <c r="O67" i="2"/>
  <c r="P67" i="2"/>
  <c r="O68" i="2"/>
  <c r="P68" i="2" s="1"/>
  <c r="O69" i="2"/>
  <c r="P69" i="2"/>
  <c r="O70" i="2"/>
  <c r="P70" i="2"/>
  <c r="O71" i="2"/>
  <c r="P71" i="2"/>
  <c r="O72" i="2"/>
  <c r="P72" i="2" s="1"/>
  <c r="O73" i="2"/>
  <c r="P73" i="2"/>
  <c r="O74" i="2"/>
  <c r="P74" i="2"/>
  <c r="O75" i="2"/>
  <c r="P75" i="2"/>
  <c r="O76" i="2"/>
  <c r="P76" i="2" s="1"/>
  <c r="O77" i="2"/>
  <c r="P77" i="2"/>
  <c r="O78" i="2"/>
  <c r="P78" i="2"/>
  <c r="O79" i="2"/>
  <c r="P79" i="2"/>
  <c r="O80" i="2"/>
  <c r="P80" i="2" s="1"/>
  <c r="O81" i="2"/>
  <c r="P81" i="2"/>
  <c r="O82" i="2"/>
  <c r="P82" i="2"/>
  <c r="O83" i="2"/>
  <c r="P83" i="2"/>
  <c r="O84" i="2"/>
  <c r="P84" i="2" s="1"/>
  <c r="O85" i="2"/>
  <c r="P85" i="2"/>
  <c r="O86" i="2"/>
  <c r="P86" i="2"/>
  <c r="O87" i="2"/>
  <c r="P87" i="2"/>
  <c r="O88" i="2"/>
  <c r="P88" i="2" s="1"/>
  <c r="O89" i="2"/>
  <c r="P89" i="2"/>
  <c r="O90" i="2"/>
  <c r="P90" i="2" s="1"/>
  <c r="O91" i="2"/>
  <c r="P91" i="2"/>
  <c r="O92" i="2"/>
  <c r="P92" i="2" s="1"/>
  <c r="O93" i="2"/>
  <c r="P93" i="2"/>
  <c r="P3" i="2"/>
  <c r="O3" i="2"/>
  <c r="O93" i="1"/>
  <c r="P93" i="1" s="1"/>
  <c r="O4" i="1"/>
  <c r="P4" i="1" s="1"/>
  <c r="O5" i="1"/>
  <c r="P5" i="1"/>
  <c r="O6" i="1"/>
  <c r="P6" i="1" s="1"/>
  <c r="O7" i="1"/>
  <c r="P7" i="1" s="1"/>
  <c r="O8" i="1"/>
  <c r="P8" i="1" s="1"/>
  <c r="O9" i="1"/>
  <c r="P9" i="1"/>
  <c r="O10" i="1"/>
  <c r="P10" i="1" s="1"/>
  <c r="O11" i="1"/>
  <c r="P11" i="1" s="1"/>
  <c r="O12" i="1"/>
  <c r="P12" i="1" s="1"/>
  <c r="O13" i="1"/>
  <c r="P13" i="1"/>
  <c r="O14" i="1"/>
  <c r="P14" i="1" s="1"/>
  <c r="O15" i="1"/>
  <c r="P15" i="1" s="1"/>
  <c r="O16" i="1"/>
  <c r="P16" i="1" s="1"/>
  <c r="O17" i="1"/>
  <c r="P17" i="1"/>
  <c r="O18" i="1"/>
  <c r="P18" i="1" s="1"/>
  <c r="O19" i="1"/>
  <c r="P19" i="1" s="1"/>
  <c r="O20" i="1"/>
  <c r="P20" i="1" s="1"/>
  <c r="O21" i="1"/>
  <c r="P21" i="1" s="1"/>
  <c r="O22" i="1"/>
  <c r="P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/>
  <c r="O30" i="1"/>
  <c r="P30" i="1" s="1"/>
  <c r="O31" i="1"/>
  <c r="P31" i="1" s="1"/>
  <c r="O32" i="1"/>
  <c r="P32" i="1" s="1"/>
  <c r="O33" i="1"/>
  <c r="P33" i="1"/>
  <c r="O34" i="1"/>
  <c r="P34" i="1"/>
  <c r="O35" i="1"/>
  <c r="P35" i="1" s="1"/>
  <c r="O36" i="1"/>
  <c r="P36" i="1" s="1"/>
  <c r="O37" i="1"/>
  <c r="P37" i="1" s="1"/>
  <c r="O38" i="1"/>
  <c r="P38" i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/>
  <c r="O46" i="1"/>
  <c r="P46" i="1" s="1"/>
  <c r="O47" i="1"/>
  <c r="P47" i="1" s="1"/>
  <c r="O48" i="1"/>
  <c r="P48" i="1" s="1"/>
  <c r="O49" i="1"/>
  <c r="P49" i="1" s="1"/>
  <c r="O50" i="1"/>
  <c r="P50" i="1"/>
  <c r="O51" i="1"/>
  <c r="P51" i="1" s="1"/>
  <c r="O52" i="1"/>
  <c r="P52" i="1" s="1"/>
  <c r="O53" i="1"/>
  <c r="P53" i="1" s="1"/>
  <c r="O54" i="1"/>
  <c r="P54" i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/>
  <c r="O62" i="1"/>
  <c r="P62" i="1" s="1"/>
  <c r="O63" i="1"/>
  <c r="P63" i="1" s="1"/>
  <c r="O64" i="1"/>
  <c r="P64" i="1" s="1"/>
  <c r="O65" i="1"/>
  <c r="P65" i="1"/>
  <c r="O66" i="1"/>
  <c r="P66" i="1"/>
  <c r="O67" i="1"/>
  <c r="P67" i="1" s="1"/>
  <c r="O68" i="1"/>
  <c r="P68" i="1" s="1"/>
  <c r="O69" i="1"/>
  <c r="P69" i="1" s="1"/>
  <c r="O70" i="1"/>
  <c r="P70" i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/>
  <c r="O78" i="1"/>
  <c r="P78" i="1" s="1"/>
  <c r="O79" i="1"/>
  <c r="P79" i="1" s="1"/>
  <c r="O80" i="1"/>
  <c r="P80" i="1" s="1"/>
  <c r="O81" i="1"/>
  <c r="P81" i="1"/>
  <c r="O82" i="1"/>
  <c r="P82" i="1"/>
  <c r="O83" i="1"/>
  <c r="P83" i="1" s="1"/>
  <c r="O84" i="1"/>
  <c r="P84" i="1" s="1"/>
  <c r="O85" i="1"/>
  <c r="P85" i="1" s="1"/>
  <c r="O86" i="1"/>
  <c r="P86" i="1"/>
  <c r="O87" i="1"/>
  <c r="P87" i="1" s="1"/>
  <c r="O88" i="1"/>
  <c r="P88" i="1" s="1"/>
  <c r="O89" i="1"/>
  <c r="P89" i="1" s="1"/>
  <c r="O90" i="1"/>
  <c r="P90" i="1"/>
  <c r="O91" i="1"/>
  <c r="P91" i="1" s="1"/>
  <c r="O92" i="1"/>
  <c r="P92" i="1" s="1"/>
  <c r="O3" i="1"/>
  <c r="P3" i="1" s="1"/>
  <c r="B7" i="8" l="1"/>
</calcChain>
</file>

<file path=xl/sharedStrings.xml><?xml version="1.0" encoding="utf-8"?>
<sst xmlns="http://schemas.openxmlformats.org/spreadsheetml/2006/main" count="1523" uniqueCount="607">
  <si>
    <t>Well</t>
  </si>
  <si>
    <t>Slope_1</t>
  </si>
  <si>
    <t>Slope_2</t>
  </si>
  <si>
    <t>Slope_3</t>
  </si>
  <si>
    <t>Slope_4</t>
  </si>
  <si>
    <t>Slope_5</t>
  </si>
  <si>
    <t>Slope_6</t>
  </si>
  <si>
    <t>AVG</t>
  </si>
  <si>
    <t>STD</t>
  </si>
  <si>
    <t>WT</t>
  </si>
  <si>
    <t>M16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</si>
  <si>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</si>
  <si>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</si>
  <si>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</si>
  <si>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</si>
  <si>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</si>
  <si>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</si>
  <si>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</si>
  <si>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</si>
  <si>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</si>
  <si>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</si>
  <si>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</si>
  <si>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</si>
  <si>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</si>
  <si>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</si>
  <si>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</si>
  <si>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</si>
  <si>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</si>
  <si>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</si>
  <si>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</si>
  <si>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</si>
  <si>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</si>
  <si>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</si>
  <si>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</si>
  <si>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</si>
  <si>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</si>
  <si>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</si>
  <si>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</si>
  <si>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</si>
  <si>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</si>
  <si>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</si>
  <si>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</si>
  <si>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</si>
  <si>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</si>
  <si>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</si>
  <si>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</si>
  <si>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</si>
  <si>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</si>
  <si>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</si>
  <si>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</si>
  <si>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</si>
  <si>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</si>
  <si>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</si>
  <si>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</si>
  <si>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</si>
  <si>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</si>
  <si>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</si>
  <si>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</si>
  <si>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</si>
  <si>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</si>
  <si>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</si>
  <si>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</si>
  <si>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</si>
  <si>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</si>
  <si>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</si>
  <si>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</si>
  <si>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</si>
  <si>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</si>
  <si>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</si>
  <si>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</si>
  <si>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</si>
  <si>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</si>
  <si>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</si>
  <si>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</si>
  <si>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</si>
  <si>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</si>
  <si>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</si>
  <si>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</si>
  <si>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</si>
  <si>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</si>
  <si>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</si>
  <si>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</si>
  <si>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</si>
  <si>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</si>
  <si>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</si>
  <si>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</si>
  <si>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</si>
  <si>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</si>
  <si>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</si>
  <si>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</si>
  <si>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</si>
  <si>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</si>
  <si>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</si>
  <si>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</si>
  <si>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</si>
  <si>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</si>
  <si>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</si>
  <si>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</si>
  <si>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</si>
  <si>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</si>
  <si>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</si>
  <si>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H10</t>
  </si>
  <si>
    <t>V141M / K226G / I15V / Q295D</t>
  </si>
  <si>
    <t>V141M / K226G / I15V / A65L</t>
  </si>
  <si>
    <t>V141M / K226G / I15V / Q167R</t>
  </si>
  <si>
    <t>V141M / K226G / I15V / Q362R</t>
  </si>
  <si>
    <t>V141M / K226G / I15V / T25D</t>
  </si>
  <si>
    <t>V141M / K226G / I15V / L303P</t>
  </si>
  <si>
    <t>V141M / K226G / I15V / V266R</t>
  </si>
  <si>
    <t>V141M / K226G / I15V / L103V</t>
  </si>
  <si>
    <t>V141M / K226G / I15V / V298L</t>
  </si>
  <si>
    <t>V141M / K226G / I15V / Q106W</t>
  </si>
  <si>
    <t>V141M / K226G / I15V / V298S</t>
  </si>
  <si>
    <t>V141M / K226G / I15V / G334A</t>
  </si>
  <si>
    <t>V141M / K226G / I15V / H161Q</t>
  </si>
  <si>
    <t>V141M / K226G / I15V / L303S</t>
  </si>
  <si>
    <t>V141M / K226G / I15V / Q154D</t>
  </si>
  <si>
    <t>V141M / K226G / I15V / T158E</t>
  </si>
  <si>
    <t>V141M / K226G / I15V / S157P</t>
  </si>
  <si>
    <t>V141M / K226G / I15V / S173N</t>
  </si>
  <si>
    <t>V141M / K226G / I15V / A339L</t>
  </si>
  <si>
    <t>V141M / K226G / I15V / S157K</t>
  </si>
  <si>
    <t>V141M / K226G / I15V / V266Q</t>
  </si>
  <si>
    <t>V141M / K226G / I15V / Q154P</t>
  </si>
  <si>
    <t>V141M / K226G / I15V / Q154S</t>
  </si>
  <si>
    <t>V141M / K226G / I15V / V266E</t>
  </si>
  <si>
    <t>V141M / K226G / I15V / L303G</t>
  </si>
  <si>
    <t>V141M / K226G / I15V / R305Q</t>
  </si>
  <si>
    <t>V141M / K226G / I15V / N366D</t>
  </si>
  <si>
    <t>V141M / K226G / I15V / V298D</t>
  </si>
  <si>
    <t>V141M / K226G / I15V / P19A</t>
  </si>
  <si>
    <t>V141M / K226G / I15V / L103I</t>
  </si>
  <si>
    <t>V141M / K226G / I15V / E316S</t>
  </si>
  <si>
    <t>V141M / K226G / I15V / H161R</t>
  </si>
  <si>
    <t>V141M / K226G / I15V / N366G</t>
  </si>
  <si>
    <t>V141M / K226G / I15V / G334S</t>
  </si>
  <si>
    <t>V141M / K226G / I15V / K319R</t>
  </si>
  <si>
    <t>V141M / K226G / I15V / E48Q</t>
  </si>
  <si>
    <t>V141M / K226G / I15V / E316P</t>
  </si>
  <si>
    <t>V141M / K226G / I15V / Q154A</t>
  </si>
  <si>
    <t>V141M / K226G / I15V / S173A</t>
  </si>
  <si>
    <t>V141M / K226G / I15V / T318N</t>
  </si>
  <si>
    <t>V141M / K226G / I15V / S173D</t>
  </si>
  <si>
    <t>V141M / K226G / I15V / H161T</t>
  </si>
  <si>
    <t>V141M / K226G / I15V / T158Q</t>
  </si>
  <si>
    <t>V141M / K226G / I15V / V302E</t>
  </si>
  <si>
    <t>V141M / K226G / Q295D / A65L</t>
  </si>
  <si>
    <t>V141M / K226G / I15V / R162K</t>
  </si>
  <si>
    <t>V141M / K226G / I15V / Q154R</t>
  </si>
  <si>
    <t>V141M / K226G / I15V / I109V</t>
  </si>
  <si>
    <t>V141M / K226G / Q295D / Q167R</t>
  </si>
  <si>
    <t>V141M / K226G / I15V / S315P</t>
  </si>
  <si>
    <t>V141M / K226G / I15V / E48A</t>
  </si>
  <si>
    <t>V141M / K226G / I15V / E48K</t>
  </si>
  <si>
    <t>V141M / K226G / I15V / Q295R</t>
  </si>
  <si>
    <t>V141M / K226G / I15V / S248A</t>
  </si>
  <si>
    <t>V141M / K226G / I15V / E316N</t>
  </si>
  <si>
    <t>V141M / K226G / A65L / Q167R</t>
  </si>
  <si>
    <t>V141M / I15V / Q295D / Q167R</t>
  </si>
  <si>
    <t>V141M / K226G / I15V / S173E</t>
  </si>
  <si>
    <t>V141M / K226G / I15V / E48D</t>
  </si>
  <si>
    <t>V141M / K226G / I15V / T25P</t>
  </si>
  <si>
    <t>V141M / I15V / A65L / Q167R</t>
  </si>
  <si>
    <t>V141M / K226G / I15V / H161L</t>
  </si>
  <si>
    <t>V141M / K226G / I15V / T318A</t>
  </si>
  <si>
    <t>V141M / K226G / I15V / E316A</t>
  </si>
  <si>
    <t>V141M / K226G / I15V / E316K</t>
  </si>
  <si>
    <t>V141M / K226G / I15V / Q154T</t>
  </si>
  <si>
    <t>V141M / K226G / Q295D / Q362R</t>
  </si>
  <si>
    <t>V141M / K226G / I15V / G7L</t>
  </si>
  <si>
    <t>V141M / K226G / I15V / E316T</t>
  </si>
  <si>
    <t>V141M / K226G / Q295D / T25D</t>
  </si>
  <si>
    <t>V141M / K226G / A65L / Q362R</t>
  </si>
  <si>
    <t>V141M / I15V / Q295D / Q362R</t>
  </si>
  <si>
    <t>V141M / K226G / I15V / E316L</t>
  </si>
  <si>
    <t>V141M / K226G / I15V / T158A</t>
  </si>
  <si>
    <t>V141M / K226G / Q167R / Q362R</t>
  </si>
  <si>
    <t>V141M / K226G / I15V / R162A</t>
  </si>
  <si>
    <t>V141M / K226G / A65L / T25D</t>
  </si>
  <si>
    <t>V141M / I15V / Q295D / T25D</t>
  </si>
  <si>
    <t>V141M / K226G / I15V / E174T</t>
  </si>
  <si>
    <t>V141M / K226G / I15V / E48R</t>
  </si>
  <si>
    <t>V141M / I15V / A65L / Q362R</t>
  </si>
  <si>
    <t>V141M / K226G / Q167R / T25D</t>
  </si>
  <si>
    <t>V141M / K226G / Q295D / L303P</t>
  </si>
  <si>
    <t>V141M / I15V / Q167R / Q362R</t>
  </si>
  <si>
    <t>V141M / I15V / A65L / T25D</t>
  </si>
  <si>
    <t>V141M / K226G / Q295D / V266R</t>
  </si>
  <si>
    <t>V141M / K226G / A65L / L303P</t>
  </si>
  <si>
    <t>V141M / K226G / Q295D / L103V</t>
  </si>
  <si>
    <t>V141M / K226G / I15V / R162D</t>
  </si>
  <si>
    <t>V141M / I15V / Q295D / L303P</t>
  </si>
  <si>
    <t>H7</t>
  </si>
  <si>
    <t>H8</t>
  </si>
  <si>
    <t>H9</t>
  </si>
  <si>
    <t>R3 B3</t>
  </si>
  <si>
    <t>EV</t>
  </si>
  <si>
    <t>H11</t>
  </si>
  <si>
    <t>H12</t>
  </si>
  <si>
    <t>Mutations</t>
  </si>
  <si>
    <t>Screening Well</t>
  </si>
  <si>
    <t xml:space="preserve"> </t>
  </si>
  <si>
    <t>Mutation</t>
  </si>
  <si>
    <t>V141M / K226G / E316D</t>
  </si>
  <si>
    <t>V141M / K226G / T25S</t>
  </si>
  <si>
    <t>V141M / K226G / Q295D</t>
  </si>
  <si>
    <t>V141M / K226G / S157K</t>
  </si>
  <si>
    <t>V141M / K226G / L103V</t>
  </si>
  <si>
    <t>V141M / K226G / A65L</t>
  </si>
  <si>
    <t>V141M / K226G / E316S</t>
  </si>
  <si>
    <t>V141M / K226G / Q362R</t>
  </si>
  <si>
    <t>V141M / K226G / L303Q</t>
  </si>
  <si>
    <t>V141M / E316D / T25S</t>
  </si>
  <si>
    <t>V141M / E316D / Q295D</t>
  </si>
  <si>
    <t>V141M / E316D / S157K</t>
  </si>
  <si>
    <t>V141M / E316D / L103V</t>
  </si>
  <si>
    <t>V141M / Q362R / T158E</t>
  </si>
  <si>
    <t>V141M / K226G / I15V</t>
  </si>
  <si>
    <t>V141M / Q295D / T25S</t>
  </si>
  <si>
    <t>V141M / S157K / T25S</t>
  </si>
  <si>
    <t>V141M / E316D / Q362R</t>
  </si>
  <si>
    <t>V141M / Q295D / S157K</t>
  </si>
  <si>
    <t>V141M / L103V / T25S</t>
  </si>
  <si>
    <t>V141M / Q295D / L103V</t>
  </si>
  <si>
    <t>V141M / L103V / S157K</t>
  </si>
  <si>
    <t>V141M / K226G / T25D</t>
  </si>
  <si>
    <t>V141M / A65L / T25S</t>
  </si>
  <si>
    <t>V141M / Q295D / A65L</t>
  </si>
  <si>
    <t>V141M / T25S / E316S</t>
  </si>
  <si>
    <t>V141M / Q362R / T25S</t>
  </si>
  <si>
    <t>V141M / Q295D / E316S</t>
  </si>
  <si>
    <t>V141M / A65L / S157K</t>
  </si>
  <si>
    <t>V141M / Q295D / Q362R</t>
  </si>
  <si>
    <t>V141M / K226G / T158E</t>
  </si>
  <si>
    <t>V141M / S157K / E316S</t>
  </si>
  <si>
    <t>V141M / Q362R / S157K</t>
  </si>
  <si>
    <t>V141M / K226G / Q295R</t>
  </si>
  <si>
    <t>V141M / E316D / L303Q</t>
  </si>
  <si>
    <t>V141M / A65L / L103V</t>
  </si>
  <si>
    <t>V141M / E316D / L303S</t>
  </si>
  <si>
    <t>V141M / T25S / T28Q</t>
  </si>
  <si>
    <t>V141M / A65L / Q295R</t>
  </si>
  <si>
    <t>V141M / A65L / Q362R</t>
  </si>
  <si>
    <t>V141M / Q295D / T28Q</t>
  </si>
  <si>
    <t>V141M / K226G / T28Q</t>
  </si>
  <si>
    <t>V141M / T25S / L303Q</t>
  </si>
  <si>
    <t>V141M / Q295D / L303Q</t>
  </si>
  <si>
    <t>V141M / K226G / I109V</t>
  </si>
  <si>
    <t>V141M / S157K / L303Q</t>
  </si>
  <si>
    <t>V141M / K226G / Q106W</t>
  </si>
  <si>
    <t>V141M / E316D / I15V</t>
  </si>
  <si>
    <t>V141M / K226G / E316P</t>
  </si>
  <si>
    <t>V141M / L103V / L303Q</t>
  </si>
  <si>
    <t>V141M / K226G / L303S</t>
  </si>
  <si>
    <t>V141M / A65L / L303Q</t>
  </si>
  <si>
    <t>V141M / E316S / L303Q</t>
  </si>
  <si>
    <t>V141M / Q362R / L303Q</t>
  </si>
  <si>
    <t>V141M / E316D / T25D</t>
  </si>
  <si>
    <t>V141M / T25S / I15V</t>
  </si>
  <si>
    <t>V141M / Q295D / I15V</t>
  </si>
  <si>
    <t>V141M / K226G / E316K</t>
  </si>
  <si>
    <t>V141M / S157K / I15V</t>
  </si>
  <si>
    <t>V141M / E316D / T158E</t>
  </si>
  <si>
    <t>V141M / L303Q / I15V</t>
  </si>
  <si>
    <t>V141M / L103V / I15V</t>
  </si>
  <si>
    <t>V141M / Q295D / T25D</t>
  </si>
  <si>
    <t>V141M / A65L / I15V</t>
  </si>
  <si>
    <t>V141M / S157K / T25D</t>
  </si>
  <si>
    <t>V141M / E316S / I15V</t>
  </si>
  <si>
    <t>V141M / Q362R / I15V</t>
  </si>
  <si>
    <t>V141M / K226G / L303G</t>
  </si>
  <si>
    <t>V141M / T25S / T158E</t>
  </si>
  <si>
    <t>V141M / K226G / V266R</t>
  </si>
  <si>
    <t>V141M / Q295D / T158E</t>
  </si>
  <si>
    <t>V141M / S157K / T158E</t>
  </si>
  <si>
    <t>V141M / T25S / Q295R</t>
  </si>
  <si>
    <t>V141M / E316D / T28Q</t>
  </si>
  <si>
    <t>V141M / S157K / Q295R</t>
  </si>
  <si>
    <t>V141M / K226G / N366D</t>
  </si>
  <si>
    <t>V141M / L103V / T25D</t>
  </si>
  <si>
    <t>V141M / E316S / Q295R</t>
  </si>
  <si>
    <t>V141M / K226G / L303P</t>
  </si>
  <si>
    <t>V141M / E316D / Q106W</t>
  </si>
  <si>
    <t>V141M / K226G / S173N</t>
  </si>
  <si>
    <t>V141M / A65L / T25D</t>
  </si>
  <si>
    <t>V141M / L103V / T158E</t>
  </si>
  <si>
    <t>V141M / E316S / T25D</t>
  </si>
  <si>
    <t>V141M / Q362R / T25D</t>
  </si>
  <si>
    <t>V141M / A65L / T158E</t>
  </si>
  <si>
    <t>V141M / L103V / Q295R</t>
  </si>
  <si>
    <t>V141M / Q362R / Q295R</t>
  </si>
  <si>
    <t>V141M / K226G</t>
  </si>
  <si>
    <t>R2C12</t>
  </si>
  <si>
    <t>PCR Well</t>
  </si>
  <si>
    <t>Q167R / V141M</t>
  </si>
  <si>
    <t>Q106W / V141M</t>
  </si>
  <si>
    <t>Q154K / V141M</t>
  </si>
  <si>
    <t>L303Q / V141M</t>
  </si>
  <si>
    <t>E316S / V141M</t>
  </si>
  <si>
    <t>Q295D / V141M</t>
  </si>
  <si>
    <t>T158E / V141M</t>
  </si>
  <si>
    <t>I109V / V141M</t>
  </si>
  <si>
    <t>S157K / V141M</t>
  </si>
  <si>
    <t>Q154P / V141M</t>
  </si>
  <si>
    <t>L103V / V141M</t>
  </si>
  <si>
    <t>Q295R / V141M</t>
  </si>
  <si>
    <t>Q362R / V141M</t>
  </si>
  <si>
    <t>E316P / V141M</t>
  </si>
  <si>
    <t>G334A / V141M</t>
  </si>
  <si>
    <t>E316K / V141M</t>
  </si>
  <si>
    <t>R162K / V141M</t>
  </si>
  <si>
    <t>T25D / V141M</t>
  </si>
  <si>
    <t>A339L / V141M</t>
  </si>
  <si>
    <t>R162Q / V141M</t>
  </si>
  <si>
    <t>E48Q / V141M</t>
  </si>
  <si>
    <t>S173N / V141M</t>
  </si>
  <si>
    <t>Q154D / V141M</t>
  </si>
  <si>
    <t>N366D / V141M</t>
  </si>
  <si>
    <t>T25S / V141M</t>
  </si>
  <si>
    <t>Q154S / V141M</t>
  </si>
  <si>
    <t>Q154R / V141M</t>
  </si>
  <si>
    <t>L320V / V141M</t>
  </si>
  <si>
    <t>V141M / V298L</t>
  </si>
  <si>
    <t>E316L / V141M</t>
  </si>
  <si>
    <t>E404P / V141M</t>
  </si>
  <si>
    <t>N366G / V141M</t>
  </si>
  <si>
    <t>H161Q / V141M</t>
  </si>
  <si>
    <t>R162A / V141M</t>
  </si>
  <si>
    <t>L303S / V141M</t>
  </si>
  <si>
    <t>K226G / V141M</t>
  </si>
  <si>
    <t>E48K / V141M</t>
  </si>
  <si>
    <t>E316N / V141M</t>
  </si>
  <si>
    <t>S173D / V141M</t>
  </si>
  <si>
    <t>T25P / V141M</t>
  </si>
  <si>
    <t>E48P / V141M</t>
  </si>
  <si>
    <t>E316T / V141M</t>
  </si>
  <si>
    <t>T318N / V141M</t>
  </si>
  <si>
    <t>V141M / V298S</t>
  </si>
  <si>
    <t>R305Q / V141M</t>
  </si>
  <si>
    <t>Q345G / V141M</t>
  </si>
  <si>
    <t>E48D / V141M</t>
  </si>
  <si>
    <t>T158A / V141M</t>
  </si>
  <si>
    <t>E48R / V141M</t>
  </si>
  <si>
    <t>S157P / V141M</t>
  </si>
  <si>
    <t>Q154A / V141M</t>
  </si>
  <si>
    <t>S173A / V141M</t>
  </si>
  <si>
    <t>G7L / V141M</t>
  </si>
  <si>
    <t>Q154T / V141M</t>
  </si>
  <si>
    <t>G334S / V141M</t>
  </si>
  <si>
    <t>L303G / V141M</t>
  </si>
  <si>
    <t>T28Q / V141M</t>
  </si>
  <si>
    <t>E316D / V141M</t>
  </si>
  <si>
    <t>L103I / V141M</t>
  </si>
  <si>
    <t>V141M / V266R</t>
  </si>
  <si>
    <t>Q345D / V141M</t>
  </si>
  <si>
    <t>S248A / V141M</t>
  </si>
  <si>
    <t>A65L / V141M</t>
  </si>
  <si>
    <t>V141M / V266E</t>
  </si>
  <si>
    <t>V141M / V266Q</t>
  </si>
  <si>
    <t>V141M / V298D</t>
  </si>
  <si>
    <t>T318A / V141M</t>
  </si>
  <si>
    <t>I15V / V141M</t>
  </si>
  <si>
    <t>H161L / V141M</t>
  </si>
  <si>
    <t>K319R / V141M</t>
  </si>
  <si>
    <t>Q106W / Q167R</t>
  </si>
  <si>
    <t>E316A / V141M</t>
  </si>
  <si>
    <t>E48A / V141M</t>
  </si>
  <si>
    <t>S315P / V141M</t>
  </si>
  <si>
    <t>H161R / V141M</t>
  </si>
  <si>
    <t>P19A / V141M</t>
  </si>
  <si>
    <t>S173E / V141M</t>
  </si>
  <si>
    <t>Q154H / V141M</t>
  </si>
  <si>
    <t>Q154K / Q167R</t>
  </si>
  <si>
    <t>E174T / V141M</t>
  </si>
  <si>
    <t>S386A / V141M</t>
  </si>
  <si>
    <t>H161T / V141M</t>
  </si>
  <si>
    <t>L303Q / Q167R</t>
  </si>
  <si>
    <t>N89E / V141M</t>
  </si>
  <si>
    <t>T158Q / V141M</t>
  </si>
  <si>
    <t>R162D / V141M</t>
  </si>
  <si>
    <t>L303P / V141M</t>
  </si>
  <si>
    <t>N89K / V141M</t>
  </si>
  <si>
    <t>N89S / V141M</t>
  </si>
  <si>
    <t>V141M / V302E</t>
  </si>
  <si>
    <t>Q106W</t>
  </si>
  <si>
    <t>Q106Y</t>
  </si>
  <si>
    <t>P19A</t>
  </si>
  <si>
    <t>Q46T</t>
  </si>
  <si>
    <t>G324A</t>
  </si>
  <si>
    <t>Q416P</t>
  </si>
  <si>
    <t>P19S</t>
  </si>
  <si>
    <t>V266Q</t>
  </si>
  <si>
    <t>V302D</t>
  </si>
  <si>
    <t>G240A</t>
  </si>
  <si>
    <t>P19T</t>
  </si>
  <si>
    <t>Q416S</t>
  </si>
  <si>
    <t>Q46S</t>
  </si>
  <si>
    <t>A65L</t>
  </si>
  <si>
    <t>P19V</t>
  </si>
  <si>
    <t>F210L</t>
  </si>
  <si>
    <t>R31K</t>
  </si>
  <si>
    <t>T225D</t>
  </si>
  <si>
    <t>H433Q</t>
  </si>
  <si>
    <t>Q416A</t>
  </si>
  <si>
    <t>V302S</t>
  </si>
  <si>
    <t>V302N</t>
  </si>
  <si>
    <t>K289N</t>
  </si>
  <si>
    <t>G7A</t>
  </si>
  <si>
    <t>M380L</t>
  </si>
  <si>
    <t>M9L</t>
  </si>
  <si>
    <t>V302G</t>
  </si>
  <si>
    <t>D52Q</t>
  </si>
  <si>
    <t>Q106H</t>
  </si>
  <si>
    <t>A339M</t>
  </si>
  <si>
    <t>P364N</t>
  </si>
  <si>
    <t>G324V</t>
  </si>
  <si>
    <t>G240S</t>
  </si>
  <si>
    <t>Q46A</t>
  </si>
  <si>
    <t>Q416T</t>
  </si>
  <si>
    <t>L303P</t>
  </si>
  <si>
    <t>S386A</t>
  </si>
  <si>
    <t>T225N</t>
  </si>
  <si>
    <t>Q46N</t>
  </si>
  <si>
    <t>I124L</t>
  </si>
  <si>
    <t>T160A</t>
  </si>
  <si>
    <t>F213L</t>
  </si>
  <si>
    <t>T193P</t>
  </si>
  <si>
    <t>K139D</t>
  </si>
  <si>
    <t>D52E</t>
  </si>
  <si>
    <t>F13L</t>
  </si>
  <si>
    <t>V302A</t>
  </si>
  <si>
    <t>V266A</t>
  </si>
  <si>
    <t>H433L</t>
  </si>
  <si>
    <t>H433V</t>
  </si>
  <si>
    <t>F183L</t>
  </si>
  <si>
    <t>G309P</t>
  </si>
  <si>
    <t>V266P</t>
  </si>
  <si>
    <t>I15V</t>
  </si>
  <si>
    <t>R305A</t>
  </si>
  <si>
    <t>N89A</t>
  </si>
  <si>
    <t>G7C</t>
  </si>
  <si>
    <t>G187Q</t>
  </si>
  <si>
    <t>A339V</t>
  </si>
  <si>
    <t>G7L</t>
  </si>
  <si>
    <t>H161T</t>
  </si>
  <si>
    <t>H161R</t>
  </si>
  <si>
    <t>I15A</t>
  </si>
  <si>
    <t>T193A</t>
  </si>
  <si>
    <t>G309A</t>
  </si>
  <si>
    <t>V141M</t>
  </si>
  <si>
    <t>V266S</t>
  </si>
  <si>
    <t>T225E</t>
  </si>
  <si>
    <t>V266K</t>
  </si>
  <si>
    <t>V298A</t>
  </si>
  <si>
    <t>H433K</t>
  </si>
  <si>
    <t>I15L</t>
  </si>
  <si>
    <t>H433A</t>
  </si>
  <si>
    <t>N51Q</t>
  </si>
  <si>
    <t>K226G</t>
  </si>
  <si>
    <t>K422Q</t>
  </si>
  <si>
    <t>L201Q</t>
  </si>
  <si>
    <t>N247Q</t>
  </si>
  <si>
    <t>T411A</t>
  </si>
  <si>
    <t>A339F</t>
  </si>
  <si>
    <t>N221S</t>
  </si>
  <si>
    <t>K306Q</t>
  </si>
  <si>
    <t>G7S</t>
  </si>
  <si>
    <t>G355A</t>
  </si>
  <si>
    <t>Q304G</t>
  </si>
  <si>
    <t>T25S</t>
  </si>
  <si>
    <t>V266H</t>
  </si>
  <si>
    <t>F82Y</t>
  </si>
  <si>
    <t>N89K</t>
  </si>
  <si>
    <t>Q106R</t>
  </si>
  <si>
    <t>E316A</t>
  </si>
  <si>
    <t>Q154K</t>
  </si>
  <si>
    <t>R162Q</t>
  </si>
  <si>
    <t>A170G</t>
  </si>
  <si>
    <t>E48Q</t>
  </si>
  <si>
    <t>R162K</t>
  </si>
  <si>
    <t>E316P</t>
  </si>
  <si>
    <t>V298D</t>
  </si>
  <si>
    <t>I109V</t>
  </si>
  <si>
    <t>Q154P</t>
  </si>
  <si>
    <t>Q167R</t>
  </si>
  <si>
    <t>T158E</t>
  </si>
  <si>
    <t>E316K</t>
  </si>
  <si>
    <t>A339L</t>
  </si>
  <si>
    <t>E48D</t>
  </si>
  <si>
    <t>S157K</t>
  </si>
  <si>
    <t>E316N</t>
  </si>
  <si>
    <t>E404P</t>
  </si>
  <si>
    <t>L103V</t>
  </si>
  <si>
    <t>R162A</t>
  </si>
  <si>
    <t>G334A</t>
  </si>
  <si>
    <t>Q295R</t>
  </si>
  <si>
    <t>V298L</t>
  </si>
  <si>
    <t>N89S</t>
  </si>
  <si>
    <t>E48P</t>
  </si>
  <si>
    <t>V298S</t>
  </si>
  <si>
    <t>E316D</t>
  </si>
  <si>
    <t>E48K</t>
  </si>
  <si>
    <t>S157P</t>
  </si>
  <si>
    <t>Q362R</t>
  </si>
  <si>
    <t>Q154R</t>
  </si>
  <si>
    <t>Q154S</t>
  </si>
  <si>
    <t>V302T</t>
  </si>
  <si>
    <t>K319R</t>
  </si>
  <si>
    <t>T158A</t>
  </si>
  <si>
    <t>E316T</t>
  </si>
  <si>
    <t>S173N</t>
  </si>
  <si>
    <t>T318N</t>
  </si>
  <si>
    <t>Q154H</t>
  </si>
  <si>
    <t>N89E</t>
  </si>
  <si>
    <t>L103I</t>
  </si>
  <si>
    <t>L303G</t>
  </si>
  <si>
    <t>H161L</t>
  </si>
  <si>
    <t>E48A</t>
  </si>
  <si>
    <t>A105V</t>
  </si>
  <si>
    <t>N89Q</t>
  </si>
  <si>
    <t>G334S</t>
  </si>
  <si>
    <t>Q369R</t>
  </si>
  <si>
    <t>E316S</t>
  </si>
  <si>
    <t>Q154T</t>
  </si>
  <si>
    <t>S173E</t>
  </si>
  <si>
    <t>A262E</t>
  </si>
  <si>
    <t>T158K</t>
  </si>
  <si>
    <t>S173A</t>
  </si>
  <si>
    <t>N247Y</t>
  </si>
  <si>
    <t>V302E</t>
  </si>
  <si>
    <t>Q154A</t>
  </si>
  <si>
    <t>H257G</t>
  </si>
  <si>
    <t>E316G</t>
  </si>
  <si>
    <t>H161Q</t>
  </si>
  <si>
    <t>N366G</t>
  </si>
  <si>
    <t>E316L</t>
  </si>
  <si>
    <t>R162D</t>
  </si>
  <si>
    <t>R305T</t>
  </si>
  <si>
    <t>V302Q</t>
  </si>
  <si>
    <t>T158Q</t>
  </si>
  <si>
    <t>S315P</t>
  </si>
  <si>
    <t>R162E</t>
  </si>
  <si>
    <t>V266R</t>
  </si>
  <si>
    <t>V266E</t>
  </si>
  <si>
    <t>T25P</t>
  </si>
  <si>
    <t>I189V</t>
  </si>
  <si>
    <t>Q154D</t>
  </si>
  <si>
    <t>T318A</t>
  </si>
  <si>
    <t>L320V</t>
  </si>
  <si>
    <t>S173D</t>
  </si>
  <si>
    <t>R305G</t>
  </si>
  <si>
    <t>Q345G</t>
  </si>
  <si>
    <t>E174T</t>
  </si>
  <si>
    <t>T28Q</t>
  </si>
  <si>
    <t>E48S</t>
  </si>
  <si>
    <t>Q345D</t>
  </si>
  <si>
    <t>R305Q</t>
  </si>
  <si>
    <t>N366D</t>
  </si>
  <si>
    <t>L303Q</t>
  </si>
  <si>
    <t>T25D</t>
  </si>
  <si>
    <t>Q295D</t>
  </si>
  <si>
    <t>L303S</t>
  </si>
  <si>
    <t>S248A</t>
  </si>
  <si>
    <t>E48R</t>
  </si>
  <si>
    <t>R1P1</t>
  </si>
  <si>
    <t>R1P2</t>
  </si>
  <si>
    <t>Round2</t>
  </si>
  <si>
    <t>Round3</t>
  </si>
  <si>
    <t>Round4</t>
  </si>
  <si>
    <t>Total New Mutants</t>
  </si>
  <si>
    <t>ESM Prediction</t>
  </si>
  <si>
    <t>Supervised_Learning_Prediction</t>
  </si>
  <si>
    <t>T-test</t>
  </si>
  <si>
    <t>Significance (p&lt;0.05)</t>
  </si>
  <si>
    <t>Compared to WT (two-tailed, heteroscedastic)</t>
  </si>
  <si>
    <t>17 yes</t>
  </si>
  <si>
    <t>prediction_epistatic (EVmutation)</t>
  </si>
  <si>
    <t>26 yes</t>
  </si>
  <si>
    <t>% Significant Values</t>
  </si>
  <si>
    <t>Round 1</t>
  </si>
  <si>
    <t>Round 2</t>
  </si>
  <si>
    <t>Round 3</t>
  </si>
  <si>
    <t>Round 4</t>
  </si>
  <si>
    <t>wild-type</t>
  </si>
  <si>
    <t>V141M (round 1 Plate 2 F6)</t>
  </si>
  <si>
    <t>V141M / K226G (C12)</t>
  </si>
  <si>
    <t>V141M / K226G / I15V (B3)</t>
  </si>
  <si>
    <t>Q167R ((round 1 Plate 1 A11)</t>
  </si>
  <si>
    <t>V141M / E316D (E10)</t>
  </si>
  <si>
    <t>V141M / K226G / Q295D (A3)</t>
  </si>
  <si>
    <t>V141M / Q295D (A6)</t>
  </si>
  <si>
    <t>V141M / Q295D / I15V (E9)</t>
  </si>
  <si>
    <t>V141M / S157K (A9)</t>
  </si>
  <si>
    <t>V141M / K226G / A65L (A6)</t>
  </si>
  <si>
    <t>V141M / L103V (A11)</t>
  </si>
  <si>
    <t>V141M / A65L / I15V (F4)</t>
  </si>
  <si>
    <t>V141M / A65L (F3)</t>
  </si>
  <si>
    <t>V141M / K226G / Q362R (A8)</t>
  </si>
  <si>
    <t>V141M / T25S (C1)</t>
  </si>
  <si>
    <t>V141M / K226G / T25D (B11)</t>
  </si>
  <si>
    <t>V141M / Q362R (B1)</t>
  </si>
  <si>
    <t>V141M / Q362R / I15V (F7)</t>
  </si>
  <si>
    <t>V141M / E316S (A5)</t>
  </si>
  <si>
    <t>V141M / K226G / L303P (G7)</t>
  </si>
  <si>
    <t>V141M / L303Q (A4)</t>
  </si>
  <si>
    <t>Template plasmid for SDM for each round</t>
  </si>
  <si>
    <r>
      <t>Phytase SDM</t>
    </r>
    <r>
      <rPr>
        <sz val="12"/>
        <color theme="1"/>
        <rFont val="Arial"/>
        <family val="2"/>
      </rPr>
      <t xml:space="preserve"> (mutant and name of the well location of mutant in previous round)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</si>
</sst>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0593-4635-054B-8410-B9212D5A151B}">
  <dimension ref="A1:P99"/>
  <sheetViews>
    <sheetView topLeftCell="C73" workbookViewId="0">
      <selection activeCell="U94" sqref="U94"/>
    </sheetView>
  </sheetViews>
  <sheetFormatPr baseColWidth="10" defaultColWidth="11" defaultRowHeight="16" x14ac:dyDescent="0.2"/>
  <cols>
    <col min="13" max="13" width="15.83203125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 t="s">
        <v>0</v>
      </c>
      <c r="L1" s="2" t="s">
        <v>199</v>
      </c>
      <c r="M1" s="2" t="s">
        <v>576</v>
      </c>
      <c r="O1" s="10" t="s">
        <v>572</v>
      </c>
      <c r="P1" s="10" t="s">
        <v>573</v>
      </c>
    </row>
    <row r="2" spans="1:16" x14ac:dyDescent="0.2">
      <c r="A2" s="3" t="s">
        <v>9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/>
      <c r="O2" s="16" t="s">
        <v>574</v>
      </c>
      <c r="P2" s="16"/>
    </row>
    <row r="3" spans="1:16" x14ac:dyDescent="0.2">
      <c r="A3" s="3" t="s">
        <v>10</v>
      </c>
      <c r="B3" s="3">
        <v>4.7858999999999998</v>
      </c>
      <c r="C3" s="3">
        <v>4.2023999999999999</v>
      </c>
      <c r="D3" s="3">
        <v>2.0206</v>
      </c>
      <c r="E3" s="3">
        <v>2.8245</v>
      </c>
      <c r="F3" s="3">
        <v>4.4954999999999998</v>
      </c>
      <c r="G3" s="3">
        <v>4.9195000000000002</v>
      </c>
      <c r="H3" s="3">
        <v>3.87</v>
      </c>
      <c r="I3" s="3">
        <v>1.08</v>
      </c>
      <c r="J3" s="3"/>
      <c r="O3" s="7">
        <f>_xlfn.T.TEST($B$2:$G$2,B3:G3,2,3)</f>
        <v>1.8874803497636152E-3</v>
      </c>
      <c r="P3" s="11" t="str">
        <f>IF(O3&lt;0.05,"Yes","No")</f>
        <v>Yes</v>
      </c>
    </row>
    <row r="4" spans="1:16" x14ac:dyDescent="0.2">
      <c r="A4" s="3" t="s">
        <v>11</v>
      </c>
      <c r="B4" s="3">
        <v>1.222</v>
      </c>
      <c r="C4" s="3">
        <v>0.97419999999999995</v>
      </c>
      <c r="D4" s="3">
        <v>1.53</v>
      </c>
      <c r="E4" s="3">
        <v>0.46929999999999999</v>
      </c>
      <c r="F4" s="3">
        <v>0.44700000000000001</v>
      </c>
      <c r="G4" s="3">
        <v>1.4219999999999999</v>
      </c>
      <c r="H4" s="3">
        <v>1.01</v>
      </c>
      <c r="I4" s="3">
        <v>0.43</v>
      </c>
      <c r="J4" s="3"/>
      <c r="K4" s="3" t="s">
        <v>11</v>
      </c>
      <c r="L4" s="3" t="s">
        <v>474</v>
      </c>
      <c r="M4" s="3">
        <v>3.1246180840000002</v>
      </c>
      <c r="O4" s="7">
        <f t="shared" ref="O4:O67" si="0">_xlfn.T.TEST($B$2:$G$2,B4:G4,2,3)</f>
        <v>0.95732101920799884</v>
      </c>
      <c r="P4" s="11" t="str">
        <f t="shared" ref="P4:P67" si="1">IF(O4&lt;0.05,"Yes","No")</f>
        <v>No</v>
      </c>
    </row>
    <row r="5" spans="1:16" x14ac:dyDescent="0.2">
      <c r="A5" s="3" t="s">
        <v>12</v>
      </c>
      <c r="B5" s="3">
        <v>1.3521000000000001</v>
      </c>
      <c r="C5" s="3">
        <v>2.4805000000000001</v>
      </c>
      <c r="D5" s="3">
        <v>2.7797999999999998</v>
      </c>
      <c r="E5" s="3">
        <v>0.5151</v>
      </c>
      <c r="F5" s="3">
        <v>1.0505</v>
      </c>
      <c r="G5" s="3">
        <v>1.3326</v>
      </c>
      <c r="H5" s="3">
        <v>1.59</v>
      </c>
      <c r="I5" s="3">
        <v>0.79</v>
      </c>
      <c r="J5" s="3"/>
      <c r="K5" s="3" t="s">
        <v>12</v>
      </c>
      <c r="L5" s="3" t="s">
        <v>475</v>
      </c>
      <c r="M5" s="3">
        <v>2.9495300530000002</v>
      </c>
      <c r="O5" s="7">
        <f t="shared" si="0"/>
        <v>0.1601002957833621</v>
      </c>
      <c r="P5" s="11" t="str">
        <f t="shared" si="1"/>
        <v>No</v>
      </c>
    </row>
    <row r="6" spans="1:16" x14ac:dyDescent="0.2">
      <c r="A6" s="3" t="s">
        <v>13</v>
      </c>
      <c r="B6" s="3">
        <v>1.9874000000000001</v>
      </c>
      <c r="C6" s="3">
        <v>1.0382</v>
      </c>
      <c r="D6" s="3">
        <v>1.3275999999999999</v>
      </c>
      <c r="E6" s="3">
        <v>0.56140000000000001</v>
      </c>
      <c r="F6" s="3">
        <v>0.61560000000000004</v>
      </c>
      <c r="G6" s="3">
        <v>2.7641</v>
      </c>
      <c r="H6" s="3">
        <v>1.38</v>
      </c>
      <c r="I6" s="3">
        <v>0.78</v>
      </c>
      <c r="J6" s="3"/>
      <c r="K6" s="3" t="s">
        <v>13</v>
      </c>
      <c r="L6" s="3" t="s">
        <v>476</v>
      </c>
      <c r="M6" s="3">
        <v>2.3937434400000002</v>
      </c>
      <c r="O6" s="7">
        <f t="shared" si="0"/>
        <v>0.32345071249922591</v>
      </c>
      <c r="P6" s="11" t="str">
        <f t="shared" si="1"/>
        <v>No</v>
      </c>
    </row>
    <row r="7" spans="1:16" x14ac:dyDescent="0.2">
      <c r="A7" s="3" t="s">
        <v>14</v>
      </c>
      <c r="B7" s="3">
        <v>0.71089999999999998</v>
      </c>
      <c r="C7" s="3">
        <v>0.49559999999999998</v>
      </c>
      <c r="D7" s="3">
        <v>0.32800000000000001</v>
      </c>
      <c r="E7" s="3">
        <v>0.2097</v>
      </c>
      <c r="F7" s="3">
        <v>0.2021</v>
      </c>
      <c r="G7" s="3">
        <v>1.0593999999999999</v>
      </c>
      <c r="H7" s="3">
        <v>0</v>
      </c>
      <c r="I7" s="3">
        <v>0</v>
      </c>
      <c r="J7" s="3"/>
      <c r="K7" s="3" t="s">
        <v>14</v>
      </c>
      <c r="L7" s="3" t="s">
        <v>477</v>
      </c>
      <c r="M7" s="3">
        <v>2.1976249870000002</v>
      </c>
      <c r="O7" s="7">
        <f t="shared" si="0"/>
        <v>1.4708297896714635E-2</v>
      </c>
      <c r="P7" s="11" t="str">
        <f t="shared" si="1"/>
        <v>Yes</v>
      </c>
    </row>
    <row r="8" spans="1:16" x14ac:dyDescent="0.2">
      <c r="A8" s="3" t="s">
        <v>15</v>
      </c>
      <c r="B8" s="3">
        <v>1.0734999999999999</v>
      </c>
      <c r="C8" s="3">
        <v>1.0941000000000001</v>
      </c>
      <c r="D8" s="3">
        <v>1.7022999999999999</v>
      </c>
      <c r="E8" s="3">
        <v>1.1261000000000001</v>
      </c>
      <c r="F8" s="3">
        <v>1.0579000000000001</v>
      </c>
      <c r="G8" s="3">
        <v>2.0261999999999998</v>
      </c>
      <c r="H8" s="3">
        <v>1.35</v>
      </c>
      <c r="I8" s="3">
        <v>0.38</v>
      </c>
      <c r="J8" s="3"/>
      <c r="K8" s="3" t="s">
        <v>15</v>
      </c>
      <c r="L8" s="3" t="s">
        <v>478</v>
      </c>
      <c r="M8" s="3">
        <v>2.16813141</v>
      </c>
      <c r="O8" s="7">
        <f t="shared" si="0"/>
        <v>9.5744955409633681E-2</v>
      </c>
      <c r="P8" s="11" t="str">
        <f t="shared" si="1"/>
        <v>No</v>
      </c>
    </row>
    <row r="9" spans="1:16" x14ac:dyDescent="0.2">
      <c r="A9" s="3" t="s">
        <v>16</v>
      </c>
      <c r="B9" s="3">
        <v>1.3334999999999999</v>
      </c>
      <c r="C9" s="3">
        <v>1.7543</v>
      </c>
      <c r="D9" s="3">
        <v>1.6771</v>
      </c>
      <c r="E9" s="3">
        <v>1.0338000000000001</v>
      </c>
      <c r="F9" s="3">
        <v>0.67269999999999996</v>
      </c>
      <c r="G9" s="3">
        <v>1.8978999999999999</v>
      </c>
      <c r="H9" s="3">
        <v>1.39</v>
      </c>
      <c r="I9" s="3">
        <v>0.43</v>
      </c>
      <c r="J9" s="3"/>
      <c r="K9" s="3" t="s">
        <v>16</v>
      </c>
      <c r="L9" s="3" t="s">
        <v>479</v>
      </c>
      <c r="M9" s="3">
        <v>1.94264602</v>
      </c>
      <c r="O9" s="7">
        <f t="shared" si="0"/>
        <v>9.6136861500500714E-2</v>
      </c>
      <c r="P9" s="11" t="str">
        <f t="shared" si="1"/>
        <v>No</v>
      </c>
    </row>
    <row r="10" spans="1:16" x14ac:dyDescent="0.2">
      <c r="A10" s="3" t="s">
        <v>17</v>
      </c>
      <c r="B10" s="3">
        <v>1.2719</v>
      </c>
      <c r="C10" s="3">
        <v>1.6691</v>
      </c>
      <c r="D10" s="3">
        <v>1.4742999999999999</v>
      </c>
      <c r="E10" s="3">
        <v>0.81589999999999996</v>
      </c>
      <c r="F10" s="3">
        <v>1.2446999999999999</v>
      </c>
      <c r="G10" s="3">
        <v>1.7825</v>
      </c>
      <c r="H10" s="3">
        <v>1.38</v>
      </c>
      <c r="I10" s="3">
        <v>0.32</v>
      </c>
      <c r="J10" s="3"/>
      <c r="K10" s="3" t="s">
        <v>17</v>
      </c>
      <c r="L10" s="3" t="s">
        <v>480</v>
      </c>
      <c r="M10" s="3">
        <v>1.8703800260000001</v>
      </c>
      <c r="O10" s="7">
        <f t="shared" si="0"/>
        <v>4.5110833864374859E-2</v>
      </c>
      <c r="P10" s="11" t="str">
        <f t="shared" si="1"/>
        <v>Yes</v>
      </c>
    </row>
    <row r="11" spans="1:16" x14ac:dyDescent="0.2">
      <c r="A11" s="3" t="s">
        <v>18</v>
      </c>
      <c r="B11" s="3">
        <v>0.80379999999999996</v>
      </c>
      <c r="C11" s="3">
        <v>1.0696000000000001</v>
      </c>
      <c r="D11" s="3">
        <v>1.2941</v>
      </c>
      <c r="E11" s="3">
        <v>0.69930000000000003</v>
      </c>
      <c r="F11" s="3">
        <v>0.90590000000000004</v>
      </c>
      <c r="G11" s="3">
        <v>1.7524999999999999</v>
      </c>
      <c r="H11" s="3">
        <v>1.0900000000000001</v>
      </c>
      <c r="I11" s="3">
        <v>0.35</v>
      </c>
      <c r="J11" s="3"/>
      <c r="K11" s="3" t="s">
        <v>18</v>
      </c>
      <c r="L11" s="3" t="s">
        <v>481</v>
      </c>
      <c r="M11" s="3">
        <v>1.75308343</v>
      </c>
      <c r="O11" s="7">
        <f t="shared" si="0"/>
        <v>0.6035472934941758</v>
      </c>
      <c r="P11" s="11" t="str">
        <f t="shared" si="1"/>
        <v>No</v>
      </c>
    </row>
    <row r="12" spans="1:16" x14ac:dyDescent="0.2">
      <c r="A12" s="3" t="s">
        <v>19</v>
      </c>
      <c r="B12" s="3">
        <v>1.9939</v>
      </c>
      <c r="C12" s="3">
        <v>1.6004</v>
      </c>
      <c r="D12" s="3">
        <v>1.8676999999999999</v>
      </c>
      <c r="E12" s="3">
        <v>0.89100000000000001</v>
      </c>
      <c r="F12" s="3">
        <v>1.0507</v>
      </c>
      <c r="G12" s="3">
        <v>1.6628000000000001</v>
      </c>
      <c r="H12" s="3">
        <v>1.51</v>
      </c>
      <c r="I12" s="3">
        <v>0.41</v>
      </c>
      <c r="J12" s="3"/>
      <c r="K12" s="3" t="s">
        <v>19</v>
      </c>
      <c r="L12" s="3" t="s">
        <v>482</v>
      </c>
      <c r="M12" s="3">
        <v>1.6864876790000001</v>
      </c>
      <c r="O12" s="7">
        <f t="shared" si="0"/>
        <v>3.7255718164251335E-2</v>
      </c>
      <c r="P12" s="11" t="str">
        <f t="shared" si="1"/>
        <v>Yes</v>
      </c>
    </row>
    <row r="13" spans="1:16" x14ac:dyDescent="0.2">
      <c r="A13" s="3" t="s">
        <v>20</v>
      </c>
      <c r="B13" s="3">
        <v>1.0259</v>
      </c>
      <c r="C13" s="3">
        <v>2.0413999999999999</v>
      </c>
      <c r="D13" s="3">
        <v>1.4407000000000001</v>
      </c>
      <c r="E13" s="3">
        <v>1.1893</v>
      </c>
      <c r="F13" s="3">
        <v>1.2509999999999999</v>
      </c>
      <c r="G13" s="3">
        <v>1.7931999999999999</v>
      </c>
      <c r="H13" s="3">
        <v>1.46</v>
      </c>
      <c r="I13" s="3">
        <v>0.35</v>
      </c>
      <c r="J13" s="3"/>
      <c r="K13" s="3" t="s">
        <v>20</v>
      </c>
      <c r="L13" s="3" t="s">
        <v>483</v>
      </c>
      <c r="M13" s="3">
        <v>1.5641266380000001</v>
      </c>
      <c r="O13" s="7">
        <f t="shared" si="0"/>
        <v>3.4561584179639289E-2</v>
      </c>
      <c r="P13" s="11" t="str">
        <f t="shared" si="1"/>
        <v>Yes</v>
      </c>
    </row>
    <row r="14" spans="1:16" x14ac:dyDescent="0.2">
      <c r="A14" s="3" t="s">
        <v>21</v>
      </c>
      <c r="B14" s="3">
        <v>2.3997000000000002</v>
      </c>
      <c r="C14" s="3">
        <v>2.0600999999999998</v>
      </c>
      <c r="D14" s="3">
        <v>1.5747</v>
      </c>
      <c r="E14" s="3">
        <v>1.3827</v>
      </c>
      <c r="F14" s="3">
        <v>2.1150000000000002</v>
      </c>
      <c r="G14" s="3">
        <v>1.0058</v>
      </c>
      <c r="H14" s="3">
        <v>1.76</v>
      </c>
      <c r="I14" s="3">
        <v>0.48</v>
      </c>
      <c r="J14" s="3"/>
      <c r="K14" s="3" t="s">
        <v>21</v>
      </c>
      <c r="L14" s="3" t="s">
        <v>484</v>
      </c>
      <c r="M14" s="3">
        <v>1.4268799080000001</v>
      </c>
      <c r="O14" s="7">
        <f t="shared" si="0"/>
        <v>1.6592063777066953E-2</v>
      </c>
      <c r="P14" s="11" t="str">
        <f t="shared" si="1"/>
        <v>Yes</v>
      </c>
    </row>
    <row r="15" spans="1:16" x14ac:dyDescent="0.2">
      <c r="A15" s="3" t="s">
        <v>22</v>
      </c>
      <c r="B15" s="3">
        <v>2.5728</v>
      </c>
      <c r="C15" s="3">
        <v>2.2907999999999999</v>
      </c>
      <c r="D15" s="3">
        <v>1.5858000000000001</v>
      </c>
      <c r="E15" s="3">
        <v>1.1201000000000001</v>
      </c>
      <c r="F15" s="3">
        <v>1.2481</v>
      </c>
      <c r="G15" s="3">
        <v>0.73809999999999998</v>
      </c>
      <c r="H15" s="3">
        <v>1.59</v>
      </c>
      <c r="I15" s="3">
        <v>0.65</v>
      </c>
      <c r="J15" s="3"/>
      <c r="K15" s="3" t="s">
        <v>22</v>
      </c>
      <c r="L15" s="3" t="s">
        <v>485</v>
      </c>
      <c r="M15" s="3">
        <v>1.4021317849999999</v>
      </c>
      <c r="O15" s="7">
        <f t="shared" si="0"/>
        <v>9.6309188304971358E-2</v>
      </c>
      <c r="P15" s="11" t="str">
        <f t="shared" si="1"/>
        <v>No</v>
      </c>
    </row>
    <row r="16" spans="1:16" x14ac:dyDescent="0.2">
      <c r="A16" s="3" t="s">
        <v>23</v>
      </c>
      <c r="B16" s="3">
        <v>1.5969</v>
      </c>
      <c r="C16" s="3">
        <v>1.1395</v>
      </c>
      <c r="D16" s="3">
        <v>1.2384999999999999</v>
      </c>
      <c r="E16" s="3">
        <v>1.0546</v>
      </c>
      <c r="F16" s="3">
        <v>0.68889999999999996</v>
      </c>
      <c r="G16" s="3">
        <v>2.3449</v>
      </c>
      <c r="H16" s="3">
        <v>1.34</v>
      </c>
      <c r="I16" s="3">
        <v>0.52</v>
      </c>
      <c r="J16" s="3"/>
      <c r="K16" s="3" t="s">
        <v>23</v>
      </c>
      <c r="L16" s="3" t="s">
        <v>486</v>
      </c>
      <c r="M16" s="3">
        <v>1.393626086</v>
      </c>
      <c r="O16" s="7">
        <f t="shared" si="0"/>
        <v>0.20033994708776887</v>
      </c>
      <c r="P16" s="11" t="str">
        <f t="shared" si="1"/>
        <v>No</v>
      </c>
    </row>
    <row r="17" spans="1:16" x14ac:dyDescent="0.2">
      <c r="A17" s="3" t="s">
        <v>24</v>
      </c>
      <c r="B17" s="3">
        <v>1.7621</v>
      </c>
      <c r="C17" s="3">
        <v>2.0337000000000001</v>
      </c>
      <c r="D17" s="3">
        <v>1.6577</v>
      </c>
      <c r="E17" s="3">
        <v>1.321</v>
      </c>
      <c r="F17" s="3">
        <v>0.77749999999999997</v>
      </c>
      <c r="G17" s="3">
        <v>1.8643000000000001</v>
      </c>
      <c r="H17" s="3">
        <v>1.57</v>
      </c>
      <c r="I17" s="3">
        <v>0.42</v>
      </c>
      <c r="J17" s="3"/>
      <c r="K17" s="3" t="s">
        <v>24</v>
      </c>
      <c r="L17" s="3" t="s">
        <v>487</v>
      </c>
      <c r="M17" s="3">
        <v>1.3843481280000001</v>
      </c>
      <c r="O17" s="7">
        <f t="shared" si="0"/>
        <v>2.7988114560131241E-2</v>
      </c>
      <c r="P17" s="11" t="str">
        <f t="shared" si="1"/>
        <v>Yes</v>
      </c>
    </row>
    <row r="18" spans="1:16" x14ac:dyDescent="0.2">
      <c r="A18" s="3" t="s">
        <v>25</v>
      </c>
      <c r="B18" s="3">
        <v>1.1415999999999999</v>
      </c>
      <c r="C18" s="3">
        <v>1.0407</v>
      </c>
      <c r="D18" s="3">
        <v>1.1519999999999999</v>
      </c>
      <c r="E18" s="3">
        <v>0.88580000000000003</v>
      </c>
      <c r="F18" s="3">
        <v>0.91710000000000003</v>
      </c>
      <c r="G18" s="3">
        <v>1.7573000000000001</v>
      </c>
      <c r="H18" s="3">
        <v>1.1499999999999999</v>
      </c>
      <c r="I18" s="3">
        <v>0.28999999999999998</v>
      </c>
      <c r="J18" s="3"/>
      <c r="K18" s="3" t="s">
        <v>25</v>
      </c>
      <c r="L18" s="3" t="s">
        <v>488</v>
      </c>
      <c r="M18" s="3">
        <v>1.3421327670000001</v>
      </c>
      <c r="O18" s="7">
        <f t="shared" si="0"/>
        <v>0.30245648008110804</v>
      </c>
      <c r="P18" s="11" t="str">
        <f t="shared" si="1"/>
        <v>No</v>
      </c>
    </row>
    <row r="19" spans="1:16" x14ac:dyDescent="0.2">
      <c r="A19" s="3" t="s">
        <v>26</v>
      </c>
      <c r="B19" s="3">
        <v>1.3479000000000001</v>
      </c>
      <c r="C19" s="3">
        <v>2.2541000000000002</v>
      </c>
      <c r="D19" s="3">
        <v>1.3718999999999999</v>
      </c>
      <c r="E19" s="3">
        <v>1.0126999999999999</v>
      </c>
      <c r="F19" s="3">
        <v>1.0486</v>
      </c>
      <c r="G19" s="3">
        <v>2.0735999999999999</v>
      </c>
      <c r="H19" s="3">
        <v>1.52</v>
      </c>
      <c r="I19" s="3">
        <v>0.48</v>
      </c>
      <c r="J19" s="3"/>
      <c r="K19" s="3" t="s">
        <v>26</v>
      </c>
      <c r="L19" s="3" t="s">
        <v>489</v>
      </c>
      <c r="M19" s="3">
        <v>1.3384291880000001</v>
      </c>
      <c r="O19" s="7">
        <f t="shared" si="0"/>
        <v>6.0199225696722106E-2</v>
      </c>
      <c r="P19" s="11" t="str">
        <f t="shared" si="1"/>
        <v>No</v>
      </c>
    </row>
    <row r="20" spans="1:16" x14ac:dyDescent="0.2">
      <c r="A20" s="3" t="s">
        <v>27</v>
      </c>
      <c r="B20" s="3">
        <v>0.92810000000000004</v>
      </c>
      <c r="C20" s="3">
        <v>1.2396</v>
      </c>
      <c r="D20" s="3">
        <v>0.88749999999999996</v>
      </c>
      <c r="E20" s="3">
        <v>1.0163</v>
      </c>
      <c r="F20" s="3">
        <v>1.2312000000000001</v>
      </c>
      <c r="G20" s="3">
        <v>1.5901000000000001</v>
      </c>
      <c r="H20" s="3">
        <v>1.1499999999999999</v>
      </c>
      <c r="I20" s="3">
        <v>0.24</v>
      </c>
      <c r="J20" s="3"/>
      <c r="K20" s="3" t="s">
        <v>27</v>
      </c>
      <c r="L20" s="3" t="s">
        <v>490</v>
      </c>
      <c r="M20" s="3">
        <v>1.3349114390000001</v>
      </c>
      <c r="O20" s="7">
        <f t="shared" si="0"/>
        <v>0.22354029407255868</v>
      </c>
      <c r="P20" s="11" t="str">
        <f t="shared" si="1"/>
        <v>No</v>
      </c>
    </row>
    <row r="21" spans="1:16" x14ac:dyDescent="0.2">
      <c r="A21" s="3" t="s">
        <v>28</v>
      </c>
      <c r="B21" s="3">
        <v>1.0362</v>
      </c>
      <c r="C21" s="3">
        <v>1.4611000000000001</v>
      </c>
      <c r="D21" s="3">
        <v>1.2592000000000001</v>
      </c>
      <c r="E21" s="3">
        <v>0.65190000000000003</v>
      </c>
      <c r="F21" s="3">
        <v>1.3145</v>
      </c>
      <c r="G21" s="3">
        <v>2.1909999999999998</v>
      </c>
      <c r="H21" s="3">
        <v>1.32</v>
      </c>
      <c r="I21" s="3">
        <v>0.47</v>
      </c>
      <c r="J21" s="3"/>
      <c r="K21" s="3" t="s">
        <v>28</v>
      </c>
      <c r="L21" s="3" t="s">
        <v>491</v>
      </c>
      <c r="M21" s="3">
        <v>1.2550885570000001</v>
      </c>
      <c r="O21" s="7">
        <f t="shared" si="0"/>
        <v>0.18729870500942283</v>
      </c>
      <c r="P21" s="11" t="str">
        <f t="shared" si="1"/>
        <v>No</v>
      </c>
    </row>
    <row r="22" spans="1:16" x14ac:dyDescent="0.2">
      <c r="A22" s="3" t="s">
        <v>29</v>
      </c>
      <c r="B22" s="3">
        <v>1.0483</v>
      </c>
      <c r="C22" s="3">
        <v>1.8079000000000001</v>
      </c>
      <c r="D22" s="3">
        <v>1.6391</v>
      </c>
      <c r="E22" s="3">
        <v>1.0912999999999999</v>
      </c>
      <c r="F22" s="3">
        <v>1.1793</v>
      </c>
      <c r="G22" s="3">
        <v>2.0988000000000002</v>
      </c>
      <c r="H22" s="3">
        <v>1.48</v>
      </c>
      <c r="I22" s="3">
        <v>0.4</v>
      </c>
      <c r="J22" s="3"/>
      <c r="K22" s="3" t="s">
        <v>29</v>
      </c>
      <c r="L22" s="3" t="s">
        <v>492</v>
      </c>
      <c r="M22" s="3">
        <v>1.230639595</v>
      </c>
      <c r="O22" s="7">
        <f t="shared" si="0"/>
        <v>4.3187399335757201E-2</v>
      </c>
      <c r="P22" s="11" t="str">
        <f t="shared" si="1"/>
        <v>Yes</v>
      </c>
    </row>
    <row r="23" spans="1:16" x14ac:dyDescent="0.2">
      <c r="A23" s="3" t="s">
        <v>30</v>
      </c>
      <c r="B23" s="3">
        <v>1.032</v>
      </c>
      <c r="C23" s="3">
        <v>1.2081</v>
      </c>
      <c r="D23" s="3">
        <v>1.6801999999999999</v>
      </c>
      <c r="E23" s="3">
        <v>1.0337000000000001</v>
      </c>
      <c r="F23" s="3">
        <v>1.0452999999999999</v>
      </c>
      <c r="G23" s="3">
        <v>1.5036</v>
      </c>
      <c r="H23" s="3">
        <v>1.25</v>
      </c>
      <c r="I23" s="3">
        <v>0.25</v>
      </c>
      <c r="J23" s="3"/>
      <c r="K23" s="3" t="s">
        <v>30</v>
      </c>
      <c r="L23" s="3" t="s">
        <v>493</v>
      </c>
      <c r="M23" s="3">
        <v>1.149852579</v>
      </c>
      <c r="O23" s="7">
        <f t="shared" si="0"/>
        <v>7.8658565433898819E-2</v>
      </c>
      <c r="P23" s="11" t="str">
        <f t="shared" si="1"/>
        <v>No</v>
      </c>
    </row>
    <row r="24" spans="1:16" x14ac:dyDescent="0.2">
      <c r="A24" s="3" t="s">
        <v>31</v>
      </c>
      <c r="B24" s="3">
        <v>0.97789999999999999</v>
      </c>
      <c r="C24" s="3">
        <v>2.3485999999999998</v>
      </c>
      <c r="D24" s="3">
        <v>0.99239999999999995</v>
      </c>
      <c r="E24" s="3">
        <v>1.1614</v>
      </c>
      <c r="F24" s="3">
        <v>1.2411000000000001</v>
      </c>
      <c r="G24" s="3">
        <v>1.7841</v>
      </c>
      <c r="H24" s="3">
        <v>1.42</v>
      </c>
      <c r="I24" s="3">
        <v>0.5</v>
      </c>
      <c r="J24" s="3"/>
      <c r="K24" s="3" t="s">
        <v>31</v>
      </c>
      <c r="L24" s="3" t="s">
        <v>494</v>
      </c>
      <c r="M24" s="3">
        <v>1.125114653</v>
      </c>
      <c r="O24" s="7">
        <f t="shared" si="0"/>
        <v>0.11809098370573862</v>
      </c>
      <c r="P24" s="11" t="str">
        <f t="shared" si="1"/>
        <v>No</v>
      </c>
    </row>
    <row r="25" spans="1:16" x14ac:dyDescent="0.2">
      <c r="A25" s="3" t="s">
        <v>32</v>
      </c>
      <c r="B25" s="3">
        <v>1.0112000000000001</v>
      </c>
      <c r="C25" s="3">
        <v>2.0205000000000002</v>
      </c>
      <c r="D25" s="3">
        <v>1.0136000000000001</v>
      </c>
      <c r="E25" s="3">
        <v>1.1284000000000001</v>
      </c>
      <c r="F25" s="3">
        <v>1.2665</v>
      </c>
      <c r="G25" s="3">
        <v>1.7964</v>
      </c>
      <c r="H25" s="3">
        <v>1.37</v>
      </c>
      <c r="I25" s="3">
        <v>0.39</v>
      </c>
      <c r="J25" s="3"/>
      <c r="K25" s="3" t="s">
        <v>32</v>
      </c>
      <c r="L25" s="3" t="s">
        <v>495</v>
      </c>
      <c r="M25" s="3">
        <v>1.084259383</v>
      </c>
      <c r="O25" s="7">
        <f t="shared" si="0"/>
        <v>8.7789625494139142E-2</v>
      </c>
      <c r="P25" s="11" t="str">
        <f t="shared" si="1"/>
        <v>No</v>
      </c>
    </row>
    <row r="26" spans="1:16" x14ac:dyDescent="0.2">
      <c r="A26" s="3" t="s">
        <v>33</v>
      </c>
      <c r="B26" s="3">
        <v>1.2869999999999999</v>
      </c>
      <c r="C26" s="3">
        <v>1.5303</v>
      </c>
      <c r="D26" s="3">
        <v>1.506</v>
      </c>
      <c r="E26" s="3">
        <v>1.1976</v>
      </c>
      <c r="F26" s="3">
        <v>1.1283000000000001</v>
      </c>
      <c r="G26" s="3">
        <v>1.3029999999999999</v>
      </c>
      <c r="H26" s="3">
        <v>1.33</v>
      </c>
      <c r="I26" s="3">
        <v>0.15</v>
      </c>
      <c r="J26" s="3"/>
      <c r="K26" s="3" t="s">
        <v>33</v>
      </c>
      <c r="L26" s="3" t="s">
        <v>496</v>
      </c>
      <c r="M26" s="3">
        <v>1.071023061</v>
      </c>
      <c r="O26" s="7">
        <f t="shared" si="0"/>
        <v>4.4373629822713452E-3</v>
      </c>
      <c r="P26" s="11" t="str">
        <f t="shared" si="1"/>
        <v>Yes</v>
      </c>
    </row>
    <row r="27" spans="1:16" x14ac:dyDescent="0.2">
      <c r="A27" s="3" t="s">
        <v>34</v>
      </c>
      <c r="B27" s="3">
        <v>1.0331999999999999</v>
      </c>
      <c r="C27" s="3">
        <v>1.4830000000000001</v>
      </c>
      <c r="D27" s="3">
        <v>0.88600000000000001</v>
      </c>
      <c r="E27" s="3">
        <v>1.1247</v>
      </c>
      <c r="F27" s="3">
        <v>1.1321000000000001</v>
      </c>
      <c r="G27" s="3">
        <v>0.69430000000000003</v>
      </c>
      <c r="H27" s="3">
        <v>1.06</v>
      </c>
      <c r="I27" s="3">
        <v>0.24</v>
      </c>
      <c r="J27" s="3"/>
      <c r="K27" s="3" t="s">
        <v>34</v>
      </c>
      <c r="L27" s="3" t="s">
        <v>497</v>
      </c>
      <c r="M27" s="3">
        <v>1.0638763680000001</v>
      </c>
      <c r="O27" s="7">
        <f t="shared" si="0"/>
        <v>0.61057558847551241</v>
      </c>
      <c r="P27" s="11" t="str">
        <f t="shared" si="1"/>
        <v>No</v>
      </c>
    </row>
    <row r="28" spans="1:16" x14ac:dyDescent="0.2">
      <c r="A28" s="3" t="s">
        <v>35</v>
      </c>
      <c r="B28" s="3">
        <v>1.1689000000000001</v>
      </c>
      <c r="C28" s="3">
        <v>1.0643</v>
      </c>
      <c r="D28" s="3">
        <v>1.0951</v>
      </c>
      <c r="E28" s="3">
        <v>0.68569999999999998</v>
      </c>
      <c r="F28" s="3">
        <v>1.1895</v>
      </c>
      <c r="G28" s="3">
        <v>1.8626</v>
      </c>
      <c r="H28" s="3">
        <v>1.18</v>
      </c>
      <c r="I28" s="3">
        <v>0.35</v>
      </c>
      <c r="J28" s="3"/>
      <c r="K28" s="3" t="s">
        <v>35</v>
      </c>
      <c r="L28" s="3" t="s">
        <v>498</v>
      </c>
      <c r="M28" s="3">
        <v>1.025906669</v>
      </c>
      <c r="O28" s="7">
        <f t="shared" si="0"/>
        <v>0.30660343415930186</v>
      </c>
      <c r="P28" s="11" t="str">
        <f t="shared" si="1"/>
        <v>No</v>
      </c>
    </row>
    <row r="29" spans="1:16" x14ac:dyDescent="0.2">
      <c r="A29" s="3" t="s">
        <v>36</v>
      </c>
      <c r="B29" s="3">
        <v>1.0283</v>
      </c>
      <c r="C29" s="3">
        <v>1.8794</v>
      </c>
      <c r="D29" s="3">
        <v>1.1909000000000001</v>
      </c>
      <c r="E29" s="3">
        <v>0.69079999999999997</v>
      </c>
      <c r="F29" s="3">
        <v>0.91249999999999998</v>
      </c>
      <c r="G29" s="3">
        <v>1.4565999999999999</v>
      </c>
      <c r="H29" s="3">
        <v>1.19</v>
      </c>
      <c r="I29" s="3">
        <v>0.39</v>
      </c>
      <c r="J29" s="3"/>
      <c r="K29" s="3" t="s">
        <v>36</v>
      </c>
      <c r="L29" s="3" t="s">
        <v>499</v>
      </c>
      <c r="M29" s="3">
        <v>0.95566012199999995</v>
      </c>
      <c r="O29" s="7">
        <f t="shared" si="0"/>
        <v>0.31531728917070045</v>
      </c>
      <c r="P29" s="11" t="str">
        <f t="shared" si="1"/>
        <v>No</v>
      </c>
    </row>
    <row r="30" spans="1:16" x14ac:dyDescent="0.2">
      <c r="A30" s="3" t="s">
        <v>37</v>
      </c>
      <c r="B30" s="3">
        <v>0.9778</v>
      </c>
      <c r="C30" s="3">
        <v>0.93989999999999996</v>
      </c>
      <c r="D30" s="3">
        <v>1.1847000000000001</v>
      </c>
      <c r="E30" s="3">
        <v>0.79749999999999999</v>
      </c>
      <c r="F30" s="3">
        <v>0.85880000000000001</v>
      </c>
      <c r="G30" s="3">
        <v>1.4813000000000001</v>
      </c>
      <c r="H30" s="3">
        <v>1.04</v>
      </c>
      <c r="I30" s="3">
        <v>0.23</v>
      </c>
      <c r="J30" s="3"/>
      <c r="K30" s="3" t="s">
        <v>37</v>
      </c>
      <c r="L30" s="3" t="s">
        <v>500</v>
      </c>
      <c r="M30" s="3">
        <v>0.91300974199999996</v>
      </c>
      <c r="O30" s="7">
        <f t="shared" si="0"/>
        <v>0.7149809413011462</v>
      </c>
      <c r="P30" s="11" t="str">
        <f t="shared" si="1"/>
        <v>No</v>
      </c>
    </row>
    <row r="31" spans="1:16" x14ac:dyDescent="0.2">
      <c r="A31" s="3" t="s">
        <v>38</v>
      </c>
      <c r="B31" s="3">
        <v>1.1196999999999999</v>
      </c>
      <c r="C31" s="3">
        <v>1.2091000000000001</v>
      </c>
      <c r="D31" s="3">
        <v>1.0436000000000001</v>
      </c>
      <c r="E31" s="3">
        <v>0.99660000000000004</v>
      </c>
      <c r="F31" s="3">
        <v>1.1025</v>
      </c>
      <c r="G31" s="3">
        <v>1.7838000000000001</v>
      </c>
      <c r="H31" s="3">
        <v>1.21</v>
      </c>
      <c r="I31" s="3">
        <v>0.27</v>
      </c>
      <c r="J31" s="3"/>
      <c r="K31" s="3" t="s">
        <v>38</v>
      </c>
      <c r="L31" s="3" t="s">
        <v>501</v>
      </c>
      <c r="M31" s="3">
        <v>0.90364982100000002</v>
      </c>
      <c r="O31" s="7">
        <f t="shared" si="0"/>
        <v>0.1380765296490726</v>
      </c>
      <c r="P31" s="11" t="str">
        <f t="shared" si="1"/>
        <v>No</v>
      </c>
    </row>
    <row r="32" spans="1:16" x14ac:dyDescent="0.2">
      <c r="A32" s="3" t="s">
        <v>39</v>
      </c>
      <c r="B32" s="3">
        <v>1.0112000000000001</v>
      </c>
      <c r="C32" s="3">
        <v>1.0349999999999999</v>
      </c>
      <c r="D32" s="3">
        <v>0.82469999999999999</v>
      </c>
      <c r="E32" s="3">
        <v>1.0488</v>
      </c>
      <c r="F32" s="3">
        <v>1.3033999999999999</v>
      </c>
      <c r="G32" s="3">
        <v>1.3561000000000001</v>
      </c>
      <c r="H32" s="3">
        <v>1.1000000000000001</v>
      </c>
      <c r="I32" s="3">
        <v>0.18</v>
      </c>
      <c r="J32" s="3"/>
      <c r="K32" s="3" t="s">
        <v>39</v>
      </c>
      <c r="L32" s="3" t="s">
        <v>502</v>
      </c>
      <c r="M32" s="3">
        <v>0.88904144799999996</v>
      </c>
      <c r="O32" s="7">
        <f t="shared" si="0"/>
        <v>0.28745635926855201</v>
      </c>
      <c r="P32" s="11" t="str">
        <f t="shared" si="1"/>
        <v>No</v>
      </c>
    </row>
    <row r="33" spans="1:16" x14ac:dyDescent="0.2">
      <c r="A33" s="3" t="s">
        <v>40</v>
      </c>
      <c r="B33" s="3">
        <v>1.1057999999999999</v>
      </c>
      <c r="C33" s="3">
        <v>2.4302000000000001</v>
      </c>
      <c r="D33" s="3">
        <v>0.88519999999999999</v>
      </c>
      <c r="E33" s="3">
        <v>1.1122000000000001</v>
      </c>
      <c r="F33" s="3">
        <v>1.4294</v>
      </c>
      <c r="G33" s="3">
        <v>1.6767000000000001</v>
      </c>
      <c r="H33" s="3">
        <v>1.44</v>
      </c>
      <c r="I33" s="3">
        <v>0.51</v>
      </c>
      <c r="J33" s="3"/>
      <c r="K33" s="3" t="s">
        <v>40</v>
      </c>
      <c r="L33" s="3" t="s">
        <v>503</v>
      </c>
      <c r="M33" s="3">
        <v>0.87114438000000005</v>
      </c>
      <c r="O33" s="7">
        <f t="shared" si="0"/>
        <v>0.11192669064304266</v>
      </c>
      <c r="P33" s="11" t="str">
        <f t="shared" si="1"/>
        <v>No</v>
      </c>
    </row>
    <row r="34" spans="1:16" x14ac:dyDescent="0.2">
      <c r="A34" s="3" t="s">
        <v>41</v>
      </c>
      <c r="B34" s="3">
        <v>1.0102</v>
      </c>
      <c r="C34" s="3">
        <v>1.6015999999999999</v>
      </c>
      <c r="D34" s="3">
        <v>0.86019999999999996</v>
      </c>
      <c r="E34" s="3">
        <v>1.0394000000000001</v>
      </c>
      <c r="F34" s="3">
        <v>1.2939000000000001</v>
      </c>
      <c r="G34" s="3">
        <v>1.7000999999999999</v>
      </c>
      <c r="H34" s="3">
        <v>1.25</v>
      </c>
      <c r="I34" s="3">
        <v>0.31</v>
      </c>
      <c r="J34" s="3"/>
      <c r="K34" s="3" t="s">
        <v>41</v>
      </c>
      <c r="L34" s="3" t="s">
        <v>504</v>
      </c>
      <c r="M34" s="3">
        <v>0.84886269999999997</v>
      </c>
      <c r="O34" s="7">
        <f t="shared" si="0"/>
        <v>0.13151066357282401</v>
      </c>
      <c r="P34" s="11" t="str">
        <f t="shared" si="1"/>
        <v>No</v>
      </c>
    </row>
    <row r="35" spans="1:16" x14ac:dyDescent="0.2">
      <c r="A35" s="3" t="s">
        <v>42</v>
      </c>
      <c r="B35" s="3">
        <v>1.1109</v>
      </c>
      <c r="C35" s="3">
        <v>1.2721</v>
      </c>
      <c r="D35" s="3">
        <v>0.82979999999999998</v>
      </c>
      <c r="E35" s="3">
        <v>1.4077999999999999</v>
      </c>
      <c r="F35" s="3">
        <v>0.81930000000000003</v>
      </c>
      <c r="G35" s="3">
        <v>2.0948000000000002</v>
      </c>
      <c r="H35" s="3">
        <v>1.26</v>
      </c>
      <c r="I35" s="3">
        <v>0.43</v>
      </c>
      <c r="J35" s="3"/>
      <c r="K35" s="3" t="s">
        <v>42</v>
      </c>
      <c r="L35" s="3" t="s">
        <v>505</v>
      </c>
      <c r="M35" s="3">
        <v>0.80504051300000001</v>
      </c>
      <c r="O35" s="7">
        <f t="shared" si="0"/>
        <v>0.24291348010072761</v>
      </c>
      <c r="P35" s="11" t="str">
        <f t="shared" si="1"/>
        <v>No</v>
      </c>
    </row>
    <row r="36" spans="1:16" x14ac:dyDescent="0.2">
      <c r="A36" s="3" t="s">
        <v>43</v>
      </c>
      <c r="B36" s="3">
        <v>1.2151000000000001</v>
      </c>
      <c r="C36" s="3">
        <v>0.74819999999999998</v>
      </c>
      <c r="D36" s="3">
        <v>1.2841</v>
      </c>
      <c r="E36" s="3">
        <v>0.66739999999999999</v>
      </c>
      <c r="F36" s="3">
        <v>1.2150000000000001</v>
      </c>
      <c r="G36" s="3">
        <v>1.2998000000000001</v>
      </c>
      <c r="H36" s="3">
        <v>1.07</v>
      </c>
      <c r="I36" s="3">
        <v>0.26</v>
      </c>
      <c r="J36" s="3"/>
      <c r="K36" s="3" t="s">
        <v>43</v>
      </c>
      <c r="L36" s="3" t="s">
        <v>506</v>
      </c>
      <c r="M36" s="3">
        <v>0.78099694399999997</v>
      </c>
      <c r="O36" s="7">
        <f t="shared" si="0"/>
        <v>0.56533574162810085</v>
      </c>
      <c r="P36" s="11" t="str">
        <f t="shared" si="1"/>
        <v>No</v>
      </c>
    </row>
    <row r="37" spans="1:16" x14ac:dyDescent="0.2">
      <c r="A37" s="3" t="s">
        <v>44</v>
      </c>
      <c r="B37" s="3">
        <v>1.2301</v>
      </c>
      <c r="C37" s="3">
        <v>1.4661</v>
      </c>
      <c r="D37" s="3">
        <v>0.79090000000000005</v>
      </c>
      <c r="E37" s="3">
        <v>0.89880000000000004</v>
      </c>
      <c r="F37" s="3">
        <v>1.0499000000000001</v>
      </c>
      <c r="G37" s="3">
        <v>1.3095000000000001</v>
      </c>
      <c r="H37" s="3">
        <v>1.1200000000000001</v>
      </c>
      <c r="I37" s="3">
        <v>0.23</v>
      </c>
      <c r="J37" s="3"/>
      <c r="K37" s="3" t="s">
        <v>44</v>
      </c>
      <c r="L37" s="3" t="s">
        <v>507</v>
      </c>
      <c r="M37" s="3">
        <v>0.74220473099999995</v>
      </c>
      <c r="O37" s="7">
        <f t="shared" si="0"/>
        <v>0.28940699909429168</v>
      </c>
      <c r="P37" s="11" t="str">
        <f t="shared" si="1"/>
        <v>No</v>
      </c>
    </row>
    <row r="38" spans="1:16" x14ac:dyDescent="0.2">
      <c r="A38" s="3" t="s">
        <v>45</v>
      </c>
      <c r="B38" s="3">
        <v>1.3431</v>
      </c>
      <c r="C38" s="3">
        <v>1.284</v>
      </c>
      <c r="D38" s="3">
        <v>0.66549999999999998</v>
      </c>
      <c r="E38" s="3">
        <v>1.0078</v>
      </c>
      <c r="F38" s="3">
        <v>1.1133</v>
      </c>
      <c r="G38" s="3">
        <v>1.4797</v>
      </c>
      <c r="H38" s="3">
        <v>1.1499999999999999</v>
      </c>
      <c r="I38" s="3">
        <v>0.26</v>
      </c>
      <c r="J38" s="3"/>
      <c r="K38" s="3" t="s">
        <v>45</v>
      </c>
      <c r="L38" s="3" t="s">
        <v>508</v>
      </c>
      <c r="M38" s="3">
        <v>0.72914411999999995</v>
      </c>
      <c r="O38" s="7">
        <f t="shared" si="0"/>
        <v>0.2639203191918657</v>
      </c>
      <c r="P38" s="11" t="str">
        <f t="shared" si="1"/>
        <v>No</v>
      </c>
    </row>
    <row r="39" spans="1:16" x14ac:dyDescent="0.2">
      <c r="A39" s="3" t="s">
        <v>46</v>
      </c>
      <c r="B39" s="3">
        <v>1.2136</v>
      </c>
      <c r="C39" s="3">
        <v>1.1977</v>
      </c>
      <c r="D39" s="3">
        <v>0.96789999999999998</v>
      </c>
      <c r="E39" s="3">
        <v>1.0221</v>
      </c>
      <c r="F39" s="3">
        <v>1.1874</v>
      </c>
      <c r="G39" s="3">
        <v>1.1724000000000001</v>
      </c>
      <c r="H39" s="3">
        <v>1.1299999999999999</v>
      </c>
      <c r="I39" s="3">
        <v>0.1</v>
      </c>
      <c r="J39" s="3"/>
      <c r="K39" s="3" t="s">
        <v>46</v>
      </c>
      <c r="L39" s="3" t="s">
        <v>509</v>
      </c>
      <c r="M39" s="3">
        <v>0.68432520799999996</v>
      </c>
      <c r="O39" s="7">
        <f t="shared" si="0"/>
        <v>3.0960797985445977E-2</v>
      </c>
      <c r="P39" s="11" t="str">
        <f t="shared" si="1"/>
        <v>Yes</v>
      </c>
    </row>
    <row r="40" spans="1:16" x14ac:dyDescent="0.2">
      <c r="A40" s="3" t="s">
        <v>47</v>
      </c>
      <c r="B40" s="3">
        <v>1.0593999999999999</v>
      </c>
      <c r="C40" s="3">
        <v>1.8078000000000001</v>
      </c>
      <c r="D40" s="3">
        <v>1.2273000000000001</v>
      </c>
      <c r="E40" s="3">
        <v>0.48930000000000001</v>
      </c>
      <c r="F40" s="3">
        <v>1.4857</v>
      </c>
      <c r="G40" s="3">
        <v>2.081</v>
      </c>
      <c r="H40" s="3">
        <v>1.36</v>
      </c>
      <c r="I40" s="3">
        <v>0.52</v>
      </c>
      <c r="J40" s="3"/>
      <c r="K40" s="3" t="s">
        <v>47</v>
      </c>
      <c r="L40" s="3" t="s">
        <v>510</v>
      </c>
      <c r="M40" s="3">
        <v>0.67845502000000002</v>
      </c>
      <c r="O40" s="7">
        <f t="shared" si="0"/>
        <v>0.18162047837158296</v>
      </c>
      <c r="P40" s="11" t="str">
        <f t="shared" si="1"/>
        <v>No</v>
      </c>
    </row>
    <row r="41" spans="1:16" x14ac:dyDescent="0.2">
      <c r="A41" s="3" t="s">
        <v>48</v>
      </c>
      <c r="B41" s="3">
        <v>0.89880000000000004</v>
      </c>
      <c r="C41" s="3">
        <v>0.99150000000000005</v>
      </c>
      <c r="D41" s="3">
        <v>1.6182000000000001</v>
      </c>
      <c r="E41" s="3">
        <v>0.88670000000000004</v>
      </c>
      <c r="F41" s="3">
        <v>0.97499999999999998</v>
      </c>
      <c r="G41" s="3">
        <v>1.9322999999999999</v>
      </c>
      <c r="H41" s="3">
        <v>1.22</v>
      </c>
      <c r="I41" s="3">
        <v>0.41</v>
      </c>
      <c r="J41" s="3"/>
      <c r="K41" s="3" t="s">
        <v>48</v>
      </c>
      <c r="L41" s="3" t="s">
        <v>511</v>
      </c>
      <c r="M41" s="3">
        <v>0.67701673600000001</v>
      </c>
      <c r="O41" s="7">
        <f t="shared" si="0"/>
        <v>0.28618356014129043</v>
      </c>
      <c r="P41" s="11" t="str">
        <f t="shared" si="1"/>
        <v>No</v>
      </c>
    </row>
    <row r="42" spans="1:16" x14ac:dyDescent="0.2">
      <c r="A42" s="3" t="s">
        <v>49</v>
      </c>
      <c r="B42" s="3">
        <v>0.76290000000000002</v>
      </c>
      <c r="C42" s="3">
        <v>0.94440000000000002</v>
      </c>
      <c r="D42" s="3">
        <v>0.85560000000000003</v>
      </c>
      <c r="E42" s="3">
        <v>0.5141</v>
      </c>
      <c r="F42" s="3">
        <v>0.88070000000000004</v>
      </c>
      <c r="G42" s="3">
        <v>1.7177</v>
      </c>
      <c r="H42" s="3">
        <v>0.95</v>
      </c>
      <c r="I42" s="3">
        <v>0.37</v>
      </c>
      <c r="J42" s="3"/>
      <c r="K42" s="3" t="s">
        <v>49</v>
      </c>
      <c r="L42" s="3" t="s">
        <v>512</v>
      </c>
      <c r="M42" s="3">
        <v>0.67413155000000002</v>
      </c>
      <c r="O42" s="7">
        <f t="shared" si="0"/>
        <v>0.75788347281063384</v>
      </c>
      <c r="P42" s="11" t="str">
        <f t="shared" si="1"/>
        <v>No</v>
      </c>
    </row>
    <row r="43" spans="1:16" x14ac:dyDescent="0.2">
      <c r="A43" s="3" t="s">
        <v>50</v>
      </c>
      <c r="B43" s="3">
        <v>0.84589999999999999</v>
      </c>
      <c r="C43" s="3">
        <v>1.0511999999999999</v>
      </c>
      <c r="D43" s="3">
        <v>0.88349999999999995</v>
      </c>
      <c r="E43" s="3">
        <v>0.87250000000000005</v>
      </c>
      <c r="F43" s="3">
        <v>1.0608</v>
      </c>
      <c r="G43" s="3">
        <v>1.706</v>
      </c>
      <c r="H43" s="3">
        <v>1.07</v>
      </c>
      <c r="I43" s="3">
        <v>0.3</v>
      </c>
      <c r="J43" s="3"/>
      <c r="K43" s="3" t="s">
        <v>50</v>
      </c>
      <c r="L43" s="3" t="s">
        <v>513</v>
      </c>
      <c r="M43" s="3">
        <v>0.59532113600000003</v>
      </c>
      <c r="O43" s="7">
        <f t="shared" si="0"/>
        <v>0.62069799610838616</v>
      </c>
      <c r="P43" s="11" t="str">
        <f t="shared" si="1"/>
        <v>No</v>
      </c>
    </row>
    <row r="44" spans="1:16" x14ac:dyDescent="0.2">
      <c r="A44" s="3" t="s">
        <v>51</v>
      </c>
      <c r="B44" s="3">
        <v>0.79330000000000001</v>
      </c>
      <c r="C44" s="3">
        <v>1.3605</v>
      </c>
      <c r="D44" s="3">
        <v>0.87590000000000001</v>
      </c>
      <c r="E44" s="3">
        <v>0.93149999999999999</v>
      </c>
      <c r="F44" s="3">
        <v>0.77400000000000002</v>
      </c>
      <c r="G44" s="3">
        <v>1.7162999999999999</v>
      </c>
      <c r="H44" s="3">
        <v>1.08</v>
      </c>
      <c r="I44" s="3">
        <v>0.35</v>
      </c>
      <c r="J44" s="3"/>
      <c r="K44" s="3" t="s">
        <v>51</v>
      </c>
      <c r="L44" s="3" t="s">
        <v>514</v>
      </c>
      <c r="M44" s="3">
        <v>0.58068946099999996</v>
      </c>
      <c r="O44" s="7">
        <f t="shared" si="0"/>
        <v>0.64835046305178379</v>
      </c>
      <c r="P44" s="11" t="str">
        <f t="shared" si="1"/>
        <v>No</v>
      </c>
    </row>
    <row r="45" spans="1:16" x14ac:dyDescent="0.2">
      <c r="A45" s="3" t="s">
        <v>52</v>
      </c>
      <c r="B45" s="3">
        <v>0.95930000000000004</v>
      </c>
      <c r="C45" s="3">
        <v>1.0313000000000001</v>
      </c>
      <c r="D45" s="3">
        <v>0.85140000000000005</v>
      </c>
      <c r="E45" s="3">
        <v>1.0791999999999999</v>
      </c>
      <c r="F45" s="3">
        <v>0.98140000000000005</v>
      </c>
      <c r="G45" s="3">
        <v>1.5792999999999999</v>
      </c>
      <c r="H45" s="3">
        <v>1.08</v>
      </c>
      <c r="I45" s="3">
        <v>0.23</v>
      </c>
      <c r="J45" s="3"/>
      <c r="K45" s="3" t="s">
        <v>52</v>
      </c>
      <c r="L45" s="3" t="s">
        <v>515</v>
      </c>
      <c r="M45" s="3">
        <v>0.56576645199999998</v>
      </c>
      <c r="O45" s="7">
        <f t="shared" si="0"/>
        <v>0.47724628738744101</v>
      </c>
      <c r="P45" s="11" t="str">
        <f t="shared" si="1"/>
        <v>No</v>
      </c>
    </row>
    <row r="46" spans="1:16" x14ac:dyDescent="0.2">
      <c r="A46" s="3" t="s">
        <v>53</v>
      </c>
      <c r="B46" s="3">
        <v>1.0154000000000001</v>
      </c>
      <c r="C46" s="3">
        <v>0.95109999999999995</v>
      </c>
      <c r="D46" s="3">
        <v>1.1485000000000001</v>
      </c>
      <c r="E46" s="3">
        <v>0.85070000000000001</v>
      </c>
      <c r="F46" s="3">
        <v>0.83650000000000002</v>
      </c>
      <c r="G46" s="3">
        <v>1.7639</v>
      </c>
      <c r="H46" s="3">
        <v>1.0900000000000001</v>
      </c>
      <c r="I46" s="3">
        <v>0.32</v>
      </c>
      <c r="J46" s="3"/>
      <c r="K46" s="3" t="s">
        <v>53</v>
      </c>
      <c r="L46" s="3" t="s">
        <v>516</v>
      </c>
      <c r="M46" s="3">
        <v>0.52588556799999997</v>
      </c>
      <c r="O46" s="7">
        <f t="shared" si="0"/>
        <v>0.5354703162456762</v>
      </c>
      <c r="P46" s="11" t="str">
        <f t="shared" si="1"/>
        <v>No</v>
      </c>
    </row>
    <row r="47" spans="1:16" x14ac:dyDescent="0.2">
      <c r="A47" s="3" t="s">
        <v>54</v>
      </c>
      <c r="B47" s="3">
        <v>1.7219</v>
      </c>
      <c r="C47" s="3">
        <v>0.6482</v>
      </c>
      <c r="D47" s="3">
        <v>0.76759999999999995</v>
      </c>
      <c r="E47" s="3">
        <v>0.73440000000000005</v>
      </c>
      <c r="F47" s="3">
        <v>0.88990000000000002</v>
      </c>
      <c r="G47" s="3">
        <v>1.3460000000000001</v>
      </c>
      <c r="H47" s="3">
        <v>1.02</v>
      </c>
      <c r="I47" s="3">
        <v>0.39</v>
      </c>
      <c r="J47" s="3"/>
      <c r="K47" s="3" t="s">
        <v>54</v>
      </c>
      <c r="L47" s="3" t="s">
        <v>517</v>
      </c>
      <c r="M47" s="3">
        <v>0.50795763699999996</v>
      </c>
      <c r="O47" s="7">
        <f t="shared" si="0"/>
        <v>0.92124189015532432</v>
      </c>
      <c r="P47" s="11" t="str">
        <f t="shared" si="1"/>
        <v>No</v>
      </c>
    </row>
    <row r="48" spans="1:16" x14ac:dyDescent="0.2">
      <c r="A48" s="3" t="s">
        <v>55</v>
      </c>
      <c r="B48" s="3">
        <v>0.62270000000000003</v>
      </c>
      <c r="C48" s="3">
        <v>1.3746</v>
      </c>
      <c r="D48" s="3">
        <v>1.5184</v>
      </c>
      <c r="E48" s="3">
        <v>0.61439999999999995</v>
      </c>
      <c r="F48" s="3">
        <v>0.95989999999999998</v>
      </c>
      <c r="G48" s="3">
        <v>1.2143999999999999</v>
      </c>
      <c r="H48" s="3">
        <v>1.05</v>
      </c>
      <c r="I48" s="3">
        <v>0.35</v>
      </c>
      <c r="J48" s="3"/>
      <c r="K48" s="3" t="s">
        <v>55</v>
      </c>
      <c r="L48" s="3" t="s">
        <v>518</v>
      </c>
      <c r="M48" s="3">
        <v>0.48966362800000002</v>
      </c>
      <c r="O48" s="7">
        <f t="shared" si="0"/>
        <v>0.75852892801618299</v>
      </c>
      <c r="P48" s="11" t="str">
        <f t="shared" si="1"/>
        <v>No</v>
      </c>
    </row>
    <row r="49" spans="1:16" x14ac:dyDescent="0.2">
      <c r="A49" s="3" t="s">
        <v>56</v>
      </c>
      <c r="B49" s="3">
        <v>0.80979999999999996</v>
      </c>
      <c r="C49" s="3">
        <v>0.96870000000000001</v>
      </c>
      <c r="D49" s="3">
        <v>0.59989999999999999</v>
      </c>
      <c r="E49" s="3">
        <v>0.85919999999999996</v>
      </c>
      <c r="F49" s="3">
        <v>1.0099</v>
      </c>
      <c r="G49" s="3">
        <v>1.3891</v>
      </c>
      <c r="H49" s="3">
        <v>0.94</v>
      </c>
      <c r="I49" s="3">
        <v>0.24</v>
      </c>
      <c r="J49" s="3"/>
      <c r="K49" s="3" t="s">
        <v>56</v>
      </c>
      <c r="L49" s="3" t="s">
        <v>519</v>
      </c>
      <c r="M49" s="3">
        <v>0.47913397099999999</v>
      </c>
      <c r="O49" s="7">
        <f t="shared" si="0"/>
        <v>0.59741193862791153</v>
      </c>
      <c r="P49" s="11" t="str">
        <f t="shared" si="1"/>
        <v>No</v>
      </c>
    </row>
    <row r="50" spans="1:16" x14ac:dyDescent="0.2">
      <c r="A50" s="3" t="s">
        <v>57</v>
      </c>
      <c r="B50" s="3">
        <v>1.0035000000000001</v>
      </c>
      <c r="C50" s="3">
        <v>1.1733</v>
      </c>
      <c r="D50" s="3">
        <v>1.1337999999999999</v>
      </c>
      <c r="E50" s="3">
        <v>0.93169999999999997</v>
      </c>
      <c r="F50" s="3">
        <v>1.1194</v>
      </c>
      <c r="G50" s="3">
        <v>1.2552000000000001</v>
      </c>
      <c r="H50" s="3">
        <v>1.1000000000000001</v>
      </c>
      <c r="I50" s="3">
        <v>0.11</v>
      </c>
      <c r="J50" s="3"/>
      <c r="K50" s="3" t="s">
        <v>57</v>
      </c>
      <c r="L50" s="3" t="s">
        <v>520</v>
      </c>
      <c r="M50" s="3">
        <v>0.46426846599999999</v>
      </c>
      <c r="O50" s="7">
        <f t="shared" si="0"/>
        <v>8.4179605388149115E-2</v>
      </c>
      <c r="P50" s="11" t="str">
        <f t="shared" si="1"/>
        <v>No</v>
      </c>
    </row>
    <row r="51" spans="1:16" x14ac:dyDescent="0.2">
      <c r="A51" s="3" t="s">
        <v>58</v>
      </c>
      <c r="B51" s="3">
        <v>0.91249999999999998</v>
      </c>
      <c r="C51" s="3">
        <v>0.53520000000000001</v>
      </c>
      <c r="D51" s="3">
        <v>0.41360000000000002</v>
      </c>
      <c r="E51" s="3">
        <v>0.15310000000000001</v>
      </c>
      <c r="F51" s="3">
        <v>0.33429999999999999</v>
      </c>
      <c r="G51" s="3">
        <v>0.93840000000000001</v>
      </c>
      <c r="H51" s="3">
        <v>0.55000000000000004</v>
      </c>
      <c r="I51" s="3">
        <v>0.28999999999999998</v>
      </c>
      <c r="J51" s="3"/>
      <c r="K51" s="3" t="s">
        <v>58</v>
      </c>
      <c r="L51" s="3" t="s">
        <v>521</v>
      </c>
      <c r="M51" s="3">
        <v>0.44463213099999999</v>
      </c>
      <c r="O51" s="7">
        <f t="shared" si="0"/>
        <v>1.7572467781827045E-2</v>
      </c>
      <c r="P51" s="11" t="str">
        <f t="shared" si="1"/>
        <v>Yes</v>
      </c>
    </row>
    <row r="52" spans="1:16" x14ac:dyDescent="0.2">
      <c r="A52" s="3" t="s">
        <v>59</v>
      </c>
      <c r="B52" s="3">
        <v>1.6057999999999999</v>
      </c>
      <c r="C52" s="3">
        <v>1.5331999999999999</v>
      </c>
      <c r="D52" s="3">
        <v>1.9012</v>
      </c>
      <c r="E52" s="3">
        <v>0.67859999999999998</v>
      </c>
      <c r="F52" s="3">
        <v>1.3527</v>
      </c>
      <c r="G52" s="3">
        <v>2.1537000000000002</v>
      </c>
      <c r="H52" s="3">
        <v>1.54</v>
      </c>
      <c r="I52" s="3">
        <v>0.46</v>
      </c>
      <c r="J52" s="3"/>
      <c r="K52" s="3" t="s">
        <v>59</v>
      </c>
      <c r="L52" s="3" t="s">
        <v>522</v>
      </c>
      <c r="M52" s="3">
        <v>0.43464010600000003</v>
      </c>
      <c r="O52" s="7">
        <f t="shared" si="0"/>
        <v>4.8618582837295754E-2</v>
      </c>
      <c r="P52" s="11" t="str">
        <f t="shared" si="1"/>
        <v>Yes</v>
      </c>
    </row>
    <row r="53" spans="1:16" x14ac:dyDescent="0.2">
      <c r="A53" s="3" t="s">
        <v>60</v>
      </c>
      <c r="B53" s="3">
        <v>1.1023000000000001</v>
      </c>
      <c r="C53" s="3">
        <v>1.2150000000000001</v>
      </c>
      <c r="D53" s="3">
        <v>1.4783999999999999</v>
      </c>
      <c r="E53" s="3">
        <v>0.43099999999999999</v>
      </c>
      <c r="F53" s="3">
        <v>0.84989999999999999</v>
      </c>
      <c r="G53" s="3">
        <v>1.2357</v>
      </c>
      <c r="H53" s="3">
        <v>1.05</v>
      </c>
      <c r="I53" s="3">
        <v>0.33</v>
      </c>
      <c r="J53" s="3"/>
      <c r="K53" s="3" t="s">
        <v>60</v>
      </c>
      <c r="L53" s="3" t="s">
        <v>523</v>
      </c>
      <c r="M53" s="3">
        <v>0.393703476</v>
      </c>
      <c r="O53" s="7">
        <f t="shared" si="0"/>
        <v>0.74201607495336197</v>
      </c>
      <c r="P53" s="11" t="str">
        <f t="shared" si="1"/>
        <v>No</v>
      </c>
    </row>
    <row r="54" spans="1:16" x14ac:dyDescent="0.2">
      <c r="A54" s="3" t="s">
        <v>61</v>
      </c>
      <c r="B54" s="3">
        <v>0.93689999999999996</v>
      </c>
      <c r="C54" s="3">
        <v>1.2116</v>
      </c>
      <c r="D54" s="3">
        <v>0.85699999999999998</v>
      </c>
      <c r="E54" s="3">
        <v>0.56989999999999996</v>
      </c>
      <c r="F54" s="3">
        <v>0.92869999999999997</v>
      </c>
      <c r="G54" s="3">
        <v>1.5547</v>
      </c>
      <c r="H54" s="3">
        <v>1.01</v>
      </c>
      <c r="I54" s="3">
        <v>0.31</v>
      </c>
      <c r="J54" s="3"/>
      <c r="K54" s="3" t="s">
        <v>61</v>
      </c>
      <c r="L54" s="3" t="s">
        <v>524</v>
      </c>
      <c r="M54" s="3">
        <v>0.34908540500000002</v>
      </c>
      <c r="O54" s="7">
        <f t="shared" si="0"/>
        <v>0.94590576799492365</v>
      </c>
      <c r="P54" s="11" t="str">
        <f t="shared" si="1"/>
        <v>No</v>
      </c>
    </row>
    <row r="55" spans="1:16" x14ac:dyDescent="0.2">
      <c r="A55" s="3" t="s">
        <v>62</v>
      </c>
      <c r="B55" s="3">
        <v>0.7651</v>
      </c>
      <c r="C55" s="3">
        <v>0.85450000000000004</v>
      </c>
      <c r="D55" s="3">
        <v>0.79790000000000005</v>
      </c>
      <c r="E55" s="3">
        <v>0.76149999999999995</v>
      </c>
      <c r="F55" s="3">
        <v>0.83150000000000002</v>
      </c>
      <c r="G55" s="3">
        <v>1.3024</v>
      </c>
      <c r="H55" s="3">
        <v>0.89</v>
      </c>
      <c r="I55" s="3">
        <v>0.19</v>
      </c>
      <c r="J55" s="3"/>
      <c r="K55" s="3" t="s">
        <v>62</v>
      </c>
      <c r="L55" s="3" t="s">
        <v>525</v>
      </c>
      <c r="M55" s="3">
        <v>0.31871752199999998</v>
      </c>
      <c r="O55" s="7">
        <f t="shared" si="0"/>
        <v>0.23430929398262984</v>
      </c>
      <c r="P55" s="11" t="str">
        <f t="shared" si="1"/>
        <v>No</v>
      </c>
    </row>
    <row r="56" spans="1:16" x14ac:dyDescent="0.2">
      <c r="A56" s="3" t="s">
        <v>63</v>
      </c>
      <c r="B56" s="3">
        <v>0.67569999999999997</v>
      </c>
      <c r="C56" s="3">
        <v>0.78520000000000001</v>
      </c>
      <c r="D56" s="3">
        <v>0.8861</v>
      </c>
      <c r="E56" s="3">
        <v>1.0595000000000001</v>
      </c>
      <c r="F56" s="3">
        <v>1.006</v>
      </c>
      <c r="G56" s="3">
        <v>1.4665999999999999</v>
      </c>
      <c r="H56" s="3">
        <v>0.98</v>
      </c>
      <c r="I56" s="3">
        <v>0.25</v>
      </c>
      <c r="J56" s="3"/>
      <c r="K56" s="3" t="s">
        <v>63</v>
      </c>
      <c r="L56" s="3" t="s">
        <v>526</v>
      </c>
      <c r="M56" s="3">
        <v>0.30629391</v>
      </c>
      <c r="O56" s="7">
        <f t="shared" si="0"/>
        <v>0.86548444560096516</v>
      </c>
      <c r="P56" s="11" t="str">
        <f t="shared" si="1"/>
        <v>No</v>
      </c>
    </row>
    <row r="57" spans="1:16" x14ac:dyDescent="0.2">
      <c r="A57" s="3" t="s">
        <v>64</v>
      </c>
      <c r="B57" s="3">
        <v>1.0769</v>
      </c>
      <c r="C57" s="3">
        <v>1.0244</v>
      </c>
      <c r="D57" s="3">
        <v>0.80759999999999998</v>
      </c>
      <c r="E57" s="3">
        <v>0.86060000000000003</v>
      </c>
      <c r="F57" s="3">
        <v>1.2025999999999999</v>
      </c>
      <c r="G57" s="3">
        <v>1.7403999999999999</v>
      </c>
      <c r="H57" s="3">
        <v>1.1200000000000001</v>
      </c>
      <c r="I57" s="3">
        <v>0.31</v>
      </c>
      <c r="J57" s="3"/>
      <c r="K57" s="3" t="s">
        <v>64</v>
      </c>
      <c r="L57" s="3" t="s">
        <v>527</v>
      </c>
      <c r="M57" s="3">
        <v>0.30134756800000001</v>
      </c>
      <c r="O57" s="7">
        <f t="shared" si="0"/>
        <v>0.42741761260983485</v>
      </c>
      <c r="P57" s="11" t="str">
        <f t="shared" si="1"/>
        <v>No</v>
      </c>
    </row>
    <row r="58" spans="1:16" x14ac:dyDescent="0.2">
      <c r="A58" s="3" t="s">
        <v>65</v>
      </c>
      <c r="B58" s="3">
        <v>1.0077</v>
      </c>
      <c r="C58" s="3">
        <v>1.5457000000000001</v>
      </c>
      <c r="D58" s="3">
        <v>0.67530000000000001</v>
      </c>
      <c r="E58" s="3">
        <v>0.9849</v>
      </c>
      <c r="F58" s="3">
        <v>1.0112000000000001</v>
      </c>
      <c r="G58" s="3">
        <v>1.3514999999999999</v>
      </c>
      <c r="H58" s="3">
        <v>1.1000000000000001</v>
      </c>
      <c r="I58" s="3">
        <v>0.28000000000000003</v>
      </c>
      <c r="J58" s="3"/>
      <c r="K58" s="3" t="s">
        <v>65</v>
      </c>
      <c r="L58" s="3" t="s">
        <v>528</v>
      </c>
      <c r="M58" s="3">
        <v>0.28119150399999998</v>
      </c>
      <c r="O58" s="7">
        <f t="shared" si="0"/>
        <v>0.4783200603453856</v>
      </c>
      <c r="P58" s="11" t="str">
        <f t="shared" si="1"/>
        <v>No</v>
      </c>
    </row>
    <row r="59" spans="1:16" x14ac:dyDescent="0.2">
      <c r="A59" s="3" t="s">
        <v>66</v>
      </c>
      <c r="B59" s="3">
        <v>0.98550000000000004</v>
      </c>
      <c r="C59" s="3">
        <v>0.94969999999999999</v>
      </c>
      <c r="D59" s="3">
        <v>1.3287</v>
      </c>
      <c r="E59" s="3">
        <v>1.1062000000000001</v>
      </c>
      <c r="F59" s="3">
        <v>1.2013</v>
      </c>
      <c r="G59" s="3">
        <v>1.6527000000000001</v>
      </c>
      <c r="H59" s="3">
        <v>1.2</v>
      </c>
      <c r="I59" s="3">
        <v>0.24</v>
      </c>
      <c r="J59" s="3"/>
      <c r="K59" s="3" t="s">
        <v>66</v>
      </c>
      <c r="L59" s="3" t="s">
        <v>529</v>
      </c>
      <c r="M59" s="3">
        <v>0.27468038099999997</v>
      </c>
      <c r="O59" s="7">
        <f t="shared" si="0"/>
        <v>0.1129850674838252</v>
      </c>
      <c r="P59" s="11" t="str">
        <f t="shared" si="1"/>
        <v>No</v>
      </c>
    </row>
    <row r="60" spans="1:16" x14ac:dyDescent="0.2">
      <c r="A60" s="3" t="s">
        <v>67</v>
      </c>
      <c r="B60" s="3">
        <v>0.7903</v>
      </c>
      <c r="C60" s="3">
        <v>0.97389999999999999</v>
      </c>
      <c r="D60" s="3">
        <v>1.0576000000000001</v>
      </c>
      <c r="E60" s="3">
        <v>1.2097</v>
      </c>
      <c r="F60" s="3">
        <v>1.0891</v>
      </c>
      <c r="G60" s="3">
        <v>1.2508999999999999</v>
      </c>
      <c r="H60" s="3">
        <v>1.06</v>
      </c>
      <c r="I60" s="3">
        <v>0.15</v>
      </c>
      <c r="J60" s="3"/>
      <c r="K60" s="3" t="s">
        <v>67</v>
      </c>
      <c r="L60" s="3" t="s">
        <v>530</v>
      </c>
      <c r="M60" s="3">
        <v>0.23905121700000001</v>
      </c>
      <c r="O60" s="7">
        <f t="shared" si="0"/>
        <v>0.40604179451683914</v>
      </c>
      <c r="P60" s="11" t="str">
        <f t="shared" si="1"/>
        <v>No</v>
      </c>
    </row>
    <row r="61" spans="1:16" x14ac:dyDescent="0.2">
      <c r="A61" s="3" t="s">
        <v>68</v>
      </c>
      <c r="B61" s="3">
        <v>0.9032</v>
      </c>
      <c r="C61" s="3">
        <v>1.1488</v>
      </c>
      <c r="D61" s="3">
        <v>0.69379999999999997</v>
      </c>
      <c r="E61" s="3">
        <v>0.76259999999999994</v>
      </c>
      <c r="F61" s="3">
        <v>0.97319999999999995</v>
      </c>
      <c r="G61" s="3">
        <v>1.2208000000000001</v>
      </c>
      <c r="H61" s="3">
        <v>0.95</v>
      </c>
      <c r="I61" s="3">
        <v>0.19</v>
      </c>
      <c r="J61" s="3"/>
      <c r="K61" s="3" t="s">
        <v>68</v>
      </c>
      <c r="L61" s="3" t="s">
        <v>531</v>
      </c>
      <c r="M61" s="3">
        <v>0.22444625800000001</v>
      </c>
      <c r="O61" s="7">
        <f t="shared" si="0"/>
        <v>0.58452141991915707</v>
      </c>
      <c r="P61" s="11" t="str">
        <f t="shared" si="1"/>
        <v>No</v>
      </c>
    </row>
    <row r="62" spans="1:16" x14ac:dyDescent="0.2">
      <c r="A62" s="3" t="s">
        <v>69</v>
      </c>
      <c r="B62" s="3">
        <v>0.41089999999999999</v>
      </c>
      <c r="C62" s="3">
        <v>0.30969999999999998</v>
      </c>
      <c r="D62" s="3">
        <v>0.32950000000000002</v>
      </c>
      <c r="E62" s="3">
        <v>7.6200000000000004E-2</v>
      </c>
      <c r="F62" s="3">
        <v>0.17630000000000001</v>
      </c>
      <c r="G62" s="3">
        <v>0.99039999999999995</v>
      </c>
      <c r="H62" s="3">
        <v>0</v>
      </c>
      <c r="I62" s="3">
        <v>0</v>
      </c>
      <c r="J62" s="3"/>
      <c r="K62" s="3" t="s">
        <v>69</v>
      </c>
      <c r="L62" s="3" t="s">
        <v>532</v>
      </c>
      <c r="M62" s="3">
        <v>0.20484675299999999</v>
      </c>
      <c r="O62" s="7">
        <f t="shared" si="0"/>
        <v>5.2592801499503471E-3</v>
      </c>
      <c r="P62" s="11" t="str">
        <f t="shared" si="1"/>
        <v>Yes</v>
      </c>
    </row>
    <row r="63" spans="1:16" x14ac:dyDescent="0.2">
      <c r="A63" s="3" t="s">
        <v>70</v>
      </c>
      <c r="B63" s="3">
        <v>1.6939</v>
      </c>
      <c r="C63" s="3">
        <v>1.0767</v>
      </c>
      <c r="D63" s="3">
        <v>1.3788</v>
      </c>
      <c r="E63" s="3">
        <v>0.98219999999999996</v>
      </c>
      <c r="F63" s="3">
        <v>1.1367</v>
      </c>
      <c r="G63" s="3">
        <v>1.5139</v>
      </c>
      <c r="H63" s="3">
        <v>1.3</v>
      </c>
      <c r="I63" s="3">
        <v>0.25</v>
      </c>
      <c r="J63" s="3"/>
      <c r="K63" s="3" t="s">
        <v>70</v>
      </c>
      <c r="L63" s="3" t="s">
        <v>533</v>
      </c>
      <c r="M63" s="3">
        <v>0.20382352400000001</v>
      </c>
      <c r="O63" s="7">
        <f t="shared" si="0"/>
        <v>4.6904913273588769E-2</v>
      </c>
      <c r="P63" s="11" t="str">
        <f t="shared" si="1"/>
        <v>Yes</v>
      </c>
    </row>
    <row r="64" spans="1:16" x14ac:dyDescent="0.2">
      <c r="A64" s="3" t="s">
        <v>71</v>
      </c>
      <c r="B64" s="3">
        <v>1.1626000000000001</v>
      </c>
      <c r="C64" s="3">
        <v>1.2948</v>
      </c>
      <c r="D64" s="3">
        <v>1.1819999999999999</v>
      </c>
      <c r="E64" s="3">
        <v>0.85109999999999997</v>
      </c>
      <c r="F64" s="3">
        <v>1.1258999999999999</v>
      </c>
      <c r="G64" s="3">
        <v>1.8596999999999999</v>
      </c>
      <c r="H64" s="3">
        <v>1.25</v>
      </c>
      <c r="I64" s="3">
        <v>0.31</v>
      </c>
      <c r="J64" s="3"/>
      <c r="K64" s="3" t="s">
        <v>71</v>
      </c>
      <c r="L64" s="3" t="s">
        <v>534</v>
      </c>
      <c r="M64" s="3">
        <v>0.18062281799999999</v>
      </c>
      <c r="O64" s="7">
        <f t="shared" si="0"/>
        <v>0.13176342556266152</v>
      </c>
      <c r="P64" s="11" t="str">
        <f t="shared" si="1"/>
        <v>No</v>
      </c>
    </row>
    <row r="65" spans="1:16" x14ac:dyDescent="0.2">
      <c r="A65" s="3" t="s">
        <v>72</v>
      </c>
      <c r="B65" s="3">
        <v>1.2070000000000001</v>
      </c>
      <c r="C65" s="3">
        <v>1.147</v>
      </c>
      <c r="D65" s="3">
        <v>1.2746</v>
      </c>
      <c r="E65" s="3">
        <v>0.91120000000000001</v>
      </c>
      <c r="F65" s="3">
        <v>1.0199</v>
      </c>
      <c r="G65" s="3">
        <v>1.8873</v>
      </c>
      <c r="H65" s="3">
        <v>1.24</v>
      </c>
      <c r="I65" s="3">
        <v>0.31</v>
      </c>
      <c r="J65" s="3"/>
      <c r="K65" s="3" t="s">
        <v>72</v>
      </c>
      <c r="L65" s="3" t="s">
        <v>535</v>
      </c>
      <c r="M65" s="3">
        <v>0.162408634</v>
      </c>
      <c r="O65" s="7">
        <f t="shared" si="0"/>
        <v>0.14515117030612801</v>
      </c>
      <c r="P65" s="11" t="str">
        <f t="shared" si="1"/>
        <v>No</v>
      </c>
    </row>
    <row r="66" spans="1:16" x14ac:dyDescent="0.2">
      <c r="A66" s="3" t="s">
        <v>73</v>
      </c>
      <c r="B66" s="3">
        <v>1.0296000000000001</v>
      </c>
      <c r="C66" s="3">
        <v>1.1717</v>
      </c>
      <c r="D66" s="3">
        <v>0.89129999999999998</v>
      </c>
      <c r="E66" s="3">
        <v>0.83169999999999999</v>
      </c>
      <c r="F66" s="3">
        <v>0.70240000000000002</v>
      </c>
      <c r="G66" s="3">
        <v>1.2395</v>
      </c>
      <c r="H66" s="3">
        <v>0.98</v>
      </c>
      <c r="I66" s="3">
        <v>0.19</v>
      </c>
      <c r="J66" s="3"/>
      <c r="K66" s="3" t="s">
        <v>73</v>
      </c>
      <c r="L66" s="3" t="s">
        <v>536</v>
      </c>
      <c r="M66" s="3">
        <v>0.14052922000000001</v>
      </c>
      <c r="O66" s="7">
        <f t="shared" si="0"/>
        <v>0.8020392196155568</v>
      </c>
      <c r="P66" s="11" t="str">
        <f t="shared" si="1"/>
        <v>No</v>
      </c>
    </row>
    <row r="67" spans="1:16" x14ac:dyDescent="0.2">
      <c r="A67" s="3" t="s">
        <v>74</v>
      </c>
      <c r="B67" s="3">
        <v>0.88880000000000003</v>
      </c>
      <c r="C67" s="3">
        <v>0.99160000000000004</v>
      </c>
      <c r="D67" s="3">
        <v>0.85750000000000004</v>
      </c>
      <c r="E67" s="3">
        <v>0.39710000000000001</v>
      </c>
      <c r="F67" s="3">
        <v>0.78749999999999998</v>
      </c>
      <c r="G67" s="3">
        <v>1.8441000000000001</v>
      </c>
      <c r="H67" s="3">
        <v>0.96</v>
      </c>
      <c r="I67" s="3">
        <v>0.44</v>
      </c>
      <c r="J67" s="3"/>
      <c r="K67" s="3" t="s">
        <v>74</v>
      </c>
      <c r="L67" s="3" t="s">
        <v>537</v>
      </c>
      <c r="M67" s="3">
        <v>0.13224103600000001</v>
      </c>
      <c r="O67" s="7">
        <f t="shared" si="0"/>
        <v>0.85000333172678788</v>
      </c>
      <c r="P67" s="11" t="str">
        <f t="shared" si="1"/>
        <v>No</v>
      </c>
    </row>
    <row r="68" spans="1:16" x14ac:dyDescent="0.2">
      <c r="A68" s="3" t="s">
        <v>75</v>
      </c>
      <c r="B68" s="3">
        <v>1.1755</v>
      </c>
      <c r="C68" s="3">
        <v>0.85650000000000004</v>
      </c>
      <c r="D68" s="3">
        <v>0.97340000000000004</v>
      </c>
      <c r="E68" s="3">
        <v>0.63670000000000004</v>
      </c>
      <c r="F68" s="3">
        <v>0.68659999999999999</v>
      </c>
      <c r="G68" s="3">
        <v>1.4787999999999999</v>
      </c>
      <c r="H68" s="3">
        <v>0.97</v>
      </c>
      <c r="I68" s="3">
        <v>0.28999999999999998</v>
      </c>
      <c r="J68" s="3"/>
      <c r="K68" s="3" t="s">
        <v>75</v>
      </c>
      <c r="L68" s="3" t="s">
        <v>538</v>
      </c>
      <c r="M68" s="3">
        <v>0.11238110599999999</v>
      </c>
      <c r="O68" s="7">
        <f t="shared" ref="O68:O92" si="2">_xlfn.T.TEST($B$2:$G$2,B68:G68,2,3)</f>
        <v>0.81459023547812892</v>
      </c>
      <c r="P68" s="11" t="str">
        <f t="shared" ref="P68:P93" si="3">IF(O68&lt;0.05,"Yes","No")</f>
        <v>No</v>
      </c>
    </row>
    <row r="69" spans="1:16" x14ac:dyDescent="0.2">
      <c r="A69" s="3" t="s">
        <v>76</v>
      </c>
      <c r="B69" s="3">
        <v>0.86799999999999999</v>
      </c>
      <c r="C69" s="3">
        <v>0.94810000000000005</v>
      </c>
      <c r="D69" s="3">
        <v>0.79930000000000001</v>
      </c>
      <c r="E69" s="3">
        <v>0.78</v>
      </c>
      <c r="F69" s="3">
        <v>0.98180000000000001</v>
      </c>
      <c r="G69" s="3">
        <v>1.5814999999999999</v>
      </c>
      <c r="H69" s="3">
        <v>0.99</v>
      </c>
      <c r="I69" s="3">
        <v>0.27</v>
      </c>
      <c r="J69" s="3"/>
      <c r="K69" s="3" t="s">
        <v>76</v>
      </c>
      <c r="L69" s="3" t="s">
        <v>539</v>
      </c>
      <c r="M69" s="3">
        <v>0.10202950299999999</v>
      </c>
      <c r="O69" s="7">
        <f t="shared" si="2"/>
        <v>0.95721420564016713</v>
      </c>
      <c r="P69" s="11" t="str">
        <f t="shared" si="3"/>
        <v>No</v>
      </c>
    </row>
    <row r="70" spans="1:16" x14ac:dyDescent="0.2">
      <c r="A70" s="3" t="s">
        <v>77</v>
      </c>
      <c r="B70" s="3">
        <v>0.96299999999999997</v>
      </c>
      <c r="C70" s="3">
        <v>1.5847</v>
      </c>
      <c r="D70" s="3">
        <v>0.68530000000000002</v>
      </c>
      <c r="E70" s="3">
        <v>0.92969999999999997</v>
      </c>
      <c r="F70" s="3">
        <v>0.80279999999999996</v>
      </c>
      <c r="G70" s="3">
        <v>1.6255999999999999</v>
      </c>
      <c r="H70" s="3">
        <v>1.1000000000000001</v>
      </c>
      <c r="I70" s="3">
        <v>0.37</v>
      </c>
      <c r="J70" s="3"/>
      <c r="K70" s="3" t="s">
        <v>77</v>
      </c>
      <c r="L70" s="3" t="s">
        <v>540</v>
      </c>
      <c r="M70" s="3">
        <v>0.101194808</v>
      </c>
      <c r="O70" s="7">
        <f t="shared" si="2"/>
        <v>0.5770307564947561</v>
      </c>
      <c r="P70" s="11" t="str">
        <f t="shared" si="3"/>
        <v>No</v>
      </c>
    </row>
    <row r="71" spans="1:16" x14ac:dyDescent="0.2">
      <c r="A71" s="3" t="s">
        <v>78</v>
      </c>
      <c r="B71" s="3">
        <v>0.96289999999999998</v>
      </c>
      <c r="C71" s="3">
        <v>0.73240000000000005</v>
      </c>
      <c r="D71" s="3">
        <v>0.60219999999999996</v>
      </c>
      <c r="E71" s="3">
        <v>0.80730000000000002</v>
      </c>
      <c r="F71" s="3">
        <v>0.76380000000000003</v>
      </c>
      <c r="G71" s="3">
        <v>1.2970999999999999</v>
      </c>
      <c r="H71" s="3">
        <v>0.86</v>
      </c>
      <c r="I71" s="3">
        <v>0.22</v>
      </c>
      <c r="J71" s="3"/>
      <c r="K71" s="3" t="s">
        <v>78</v>
      </c>
      <c r="L71" s="3" t="s">
        <v>541</v>
      </c>
      <c r="M71" s="3">
        <v>0.100584154</v>
      </c>
      <c r="O71" s="7">
        <f t="shared" si="2"/>
        <v>0.22071753605720754</v>
      </c>
      <c r="P71" s="11" t="str">
        <f t="shared" si="3"/>
        <v>No</v>
      </c>
    </row>
    <row r="72" spans="1:16" x14ac:dyDescent="0.2">
      <c r="A72" s="3" t="s">
        <v>79</v>
      </c>
      <c r="B72" s="3">
        <v>0.86119999999999997</v>
      </c>
      <c r="C72" s="3">
        <v>2.3986000000000001</v>
      </c>
      <c r="D72" s="3">
        <v>0.8256</v>
      </c>
      <c r="E72" s="3">
        <v>1.2110000000000001</v>
      </c>
      <c r="F72" s="3">
        <v>1.2596000000000001</v>
      </c>
      <c r="G72" s="3">
        <v>1.5708</v>
      </c>
      <c r="H72" s="3">
        <v>1.35</v>
      </c>
      <c r="I72" s="3">
        <v>0.53</v>
      </c>
      <c r="J72" s="3"/>
      <c r="K72" s="3" t="s">
        <v>79</v>
      </c>
      <c r="L72" s="3" t="s">
        <v>542</v>
      </c>
      <c r="M72" s="3">
        <v>8.0017318000000004E-2</v>
      </c>
      <c r="O72" s="7">
        <f t="shared" si="2"/>
        <v>0.19549639210411376</v>
      </c>
      <c r="P72" s="11" t="str">
        <f t="shared" si="3"/>
        <v>No</v>
      </c>
    </row>
    <row r="73" spans="1:16" x14ac:dyDescent="0.2">
      <c r="A73" s="3" t="s">
        <v>80</v>
      </c>
      <c r="B73" s="3">
        <v>1.2144999999999999</v>
      </c>
      <c r="C73" s="3">
        <v>1.5644</v>
      </c>
      <c r="D73" s="3">
        <v>1.4232</v>
      </c>
      <c r="E73" s="3">
        <v>1.1829000000000001</v>
      </c>
      <c r="F73" s="3">
        <v>1.429</v>
      </c>
      <c r="G73" s="3">
        <v>1.1922999999999999</v>
      </c>
      <c r="H73" s="3">
        <v>1.33</v>
      </c>
      <c r="I73" s="3">
        <v>0.15</v>
      </c>
      <c r="J73" s="3"/>
      <c r="K73" s="3" t="s">
        <v>80</v>
      </c>
      <c r="L73" s="3" t="s">
        <v>543</v>
      </c>
      <c r="M73" s="3">
        <v>5.7923750000000003E-2</v>
      </c>
      <c r="O73" s="7">
        <f t="shared" si="2"/>
        <v>3.6633279805582688E-3</v>
      </c>
      <c r="P73" s="11" t="str">
        <f t="shared" si="3"/>
        <v>Yes</v>
      </c>
    </row>
    <row r="74" spans="1:16" x14ac:dyDescent="0.2">
      <c r="A74" s="3" t="s">
        <v>81</v>
      </c>
      <c r="B74" s="3">
        <v>0.97509999999999997</v>
      </c>
      <c r="C74" s="3">
        <v>0.85240000000000005</v>
      </c>
      <c r="D74" s="3">
        <v>0.97909999999999997</v>
      </c>
      <c r="E74" s="3">
        <v>1.3771</v>
      </c>
      <c r="F74" s="3">
        <v>1.3847</v>
      </c>
      <c r="G74" s="3">
        <v>1.3664000000000001</v>
      </c>
      <c r="H74" s="3">
        <v>1.1599999999999999</v>
      </c>
      <c r="I74" s="3">
        <v>0.22</v>
      </c>
      <c r="J74" s="3"/>
      <c r="K74" s="3" t="s">
        <v>81</v>
      </c>
      <c r="L74" s="3" t="s">
        <v>544</v>
      </c>
      <c r="M74" s="3">
        <v>4.3927375999999997E-2</v>
      </c>
      <c r="O74" s="7">
        <f t="shared" si="2"/>
        <v>0.18095960151248147</v>
      </c>
      <c r="P74" s="11" t="str">
        <f t="shared" si="3"/>
        <v>No</v>
      </c>
    </row>
    <row r="75" spans="1:16" x14ac:dyDescent="0.2">
      <c r="A75" s="3" t="s">
        <v>82</v>
      </c>
      <c r="B75" s="3">
        <v>0.83989999999999998</v>
      </c>
      <c r="C75" s="3">
        <v>0.76439999999999997</v>
      </c>
      <c r="D75" s="3">
        <v>1.3438000000000001</v>
      </c>
      <c r="E75" s="3">
        <v>0.9335</v>
      </c>
      <c r="F75" s="3">
        <v>1.02</v>
      </c>
      <c r="G75" s="3">
        <v>1.2867999999999999</v>
      </c>
      <c r="H75" s="3">
        <v>1.03</v>
      </c>
      <c r="I75" s="3">
        <v>0.22</v>
      </c>
      <c r="J75" s="3"/>
      <c r="K75" s="3" t="s">
        <v>82</v>
      </c>
      <c r="L75" s="3" t="s">
        <v>545</v>
      </c>
      <c r="M75" s="3">
        <v>1.8680680000000002E-2</v>
      </c>
      <c r="O75" s="7">
        <f t="shared" si="2"/>
        <v>0.75853040419711715</v>
      </c>
      <c r="P75" s="11" t="str">
        <f t="shared" si="3"/>
        <v>No</v>
      </c>
    </row>
    <row r="76" spans="1:16" x14ac:dyDescent="0.2">
      <c r="A76" s="3" t="s">
        <v>83</v>
      </c>
      <c r="B76" s="3">
        <v>1.3171999999999999</v>
      </c>
      <c r="C76" s="3">
        <v>1.5009999999999999</v>
      </c>
      <c r="D76" s="3">
        <v>1.0733999999999999</v>
      </c>
      <c r="E76" s="3">
        <v>0.91039999999999999</v>
      </c>
      <c r="F76" s="3">
        <v>1.1503000000000001</v>
      </c>
      <c r="G76" s="3">
        <v>1.7131000000000001</v>
      </c>
      <c r="H76" s="3">
        <v>1.28</v>
      </c>
      <c r="I76" s="3">
        <v>0.27</v>
      </c>
      <c r="J76" s="3"/>
      <c r="K76" s="3" t="s">
        <v>83</v>
      </c>
      <c r="L76" s="3" t="s">
        <v>546</v>
      </c>
      <c r="M76" s="3">
        <v>1.551042E-2</v>
      </c>
      <c r="O76" s="7">
        <f t="shared" si="2"/>
        <v>6.9074820653159799E-2</v>
      </c>
      <c r="P76" s="11" t="str">
        <f t="shared" si="3"/>
        <v>No</v>
      </c>
    </row>
    <row r="77" spans="1:16" x14ac:dyDescent="0.2">
      <c r="A77" s="3" t="s">
        <v>84</v>
      </c>
      <c r="B77" s="3">
        <v>1.1759999999999999</v>
      </c>
      <c r="C77" s="3">
        <v>0.93679999999999997</v>
      </c>
      <c r="D77" s="3">
        <v>0.91520000000000001</v>
      </c>
      <c r="E77" s="3">
        <v>0.94630000000000003</v>
      </c>
      <c r="F77" s="3">
        <v>1.1143000000000001</v>
      </c>
      <c r="G77" s="3">
        <v>1.4971000000000001</v>
      </c>
      <c r="H77" s="3">
        <v>1.1000000000000001</v>
      </c>
      <c r="I77" s="3">
        <v>0.2</v>
      </c>
      <c r="J77" s="3"/>
      <c r="K77" s="3" t="s">
        <v>84</v>
      </c>
      <c r="L77" s="3" t="s">
        <v>547</v>
      </c>
      <c r="M77" s="3">
        <v>5.5893430000000001E-3</v>
      </c>
      <c r="O77" s="7">
        <f t="shared" si="2"/>
        <v>0.33208219074808343</v>
      </c>
      <c r="P77" s="11" t="str">
        <f t="shared" si="3"/>
        <v>No</v>
      </c>
    </row>
    <row r="78" spans="1:16" x14ac:dyDescent="0.2">
      <c r="A78" s="3" t="s">
        <v>85</v>
      </c>
      <c r="B78" s="3">
        <v>1.2213000000000001</v>
      </c>
      <c r="C78" s="3">
        <v>1.9563999999999999</v>
      </c>
      <c r="D78" s="3">
        <v>1.0644</v>
      </c>
      <c r="E78" s="3">
        <v>1.0858000000000001</v>
      </c>
      <c r="F78" s="3">
        <v>0.75880000000000003</v>
      </c>
      <c r="G78" s="3">
        <v>1.8791</v>
      </c>
      <c r="H78" s="3">
        <v>1.33</v>
      </c>
      <c r="I78" s="3">
        <v>0.44</v>
      </c>
      <c r="J78" s="3"/>
      <c r="K78" s="3" t="s">
        <v>85</v>
      </c>
      <c r="L78" s="3" t="s">
        <v>548</v>
      </c>
      <c r="M78" s="3">
        <v>-2.4591170999999998E-2</v>
      </c>
      <c r="O78" s="7">
        <f t="shared" si="2"/>
        <v>0.15686437835285533</v>
      </c>
      <c r="P78" s="11" t="str">
        <f t="shared" si="3"/>
        <v>No</v>
      </c>
    </row>
    <row r="79" spans="1:16" x14ac:dyDescent="0.2">
      <c r="A79" s="3" t="s">
        <v>86</v>
      </c>
      <c r="B79" s="3">
        <v>0.95520000000000005</v>
      </c>
      <c r="C79" s="3">
        <v>1.5791999999999999</v>
      </c>
      <c r="D79" s="3">
        <v>1.2443</v>
      </c>
      <c r="E79" s="3">
        <v>0.86909999999999998</v>
      </c>
      <c r="F79" s="3">
        <v>1.0647</v>
      </c>
      <c r="G79" s="3">
        <v>1.5209999999999999</v>
      </c>
      <c r="H79" s="3">
        <v>1.21</v>
      </c>
      <c r="I79" s="3">
        <v>0.27</v>
      </c>
      <c r="J79" s="3"/>
      <c r="K79" s="3" t="s">
        <v>86</v>
      </c>
      <c r="L79" s="3" t="s">
        <v>549</v>
      </c>
      <c r="M79" s="3">
        <v>-4.4398424999999998E-2</v>
      </c>
      <c r="O79" s="7">
        <f t="shared" si="2"/>
        <v>0.14897931501902709</v>
      </c>
      <c r="P79" s="11" t="str">
        <f t="shared" si="3"/>
        <v>No</v>
      </c>
    </row>
    <row r="80" spans="1:16" x14ac:dyDescent="0.2">
      <c r="A80" s="3" t="s">
        <v>87</v>
      </c>
      <c r="B80" s="3">
        <v>0.9758</v>
      </c>
      <c r="C80" s="3">
        <v>1.4379</v>
      </c>
      <c r="D80" s="3">
        <v>1.2451000000000001</v>
      </c>
      <c r="E80" s="3">
        <v>0.99370000000000003</v>
      </c>
      <c r="F80" s="3">
        <v>0.59860000000000002</v>
      </c>
      <c r="G80" s="3">
        <v>1.1506000000000001</v>
      </c>
      <c r="H80" s="3">
        <v>1.07</v>
      </c>
      <c r="I80" s="3">
        <v>0.26</v>
      </c>
      <c r="J80" s="3"/>
      <c r="K80" s="3" t="s">
        <v>87</v>
      </c>
      <c r="L80" s="3" t="s">
        <v>550</v>
      </c>
      <c r="M80" s="3">
        <v>-0.10779747200000001</v>
      </c>
      <c r="O80" s="7">
        <f t="shared" si="2"/>
        <v>0.59136557393183731</v>
      </c>
      <c r="P80" s="11" t="str">
        <f t="shared" si="3"/>
        <v>No</v>
      </c>
    </row>
    <row r="81" spans="1:16" x14ac:dyDescent="0.2">
      <c r="A81" s="3" t="s">
        <v>88</v>
      </c>
      <c r="B81" s="3">
        <v>1.0646</v>
      </c>
      <c r="C81" s="3">
        <v>1.8792</v>
      </c>
      <c r="D81" s="3">
        <v>1.5212000000000001</v>
      </c>
      <c r="E81" s="3">
        <v>0.91879999999999995</v>
      </c>
      <c r="F81" s="3">
        <v>0.76470000000000005</v>
      </c>
      <c r="G81" s="3">
        <v>1.0732999999999999</v>
      </c>
      <c r="H81" s="3">
        <v>1.2</v>
      </c>
      <c r="I81" s="3">
        <v>0.38</v>
      </c>
      <c r="J81" s="3"/>
      <c r="K81" s="3" t="s">
        <v>88</v>
      </c>
      <c r="L81" s="3" t="s">
        <v>551</v>
      </c>
      <c r="M81" s="3">
        <v>-0.110004555</v>
      </c>
      <c r="O81" s="7">
        <f t="shared" si="2"/>
        <v>0.28474407239335175</v>
      </c>
      <c r="P81" s="11" t="str">
        <f t="shared" si="3"/>
        <v>No</v>
      </c>
    </row>
    <row r="82" spans="1:16" x14ac:dyDescent="0.2">
      <c r="A82" s="3" t="s">
        <v>89</v>
      </c>
      <c r="B82" s="3">
        <v>0.82679999999999998</v>
      </c>
      <c r="C82" s="3">
        <v>1.3015000000000001</v>
      </c>
      <c r="D82" s="3">
        <v>0.84850000000000003</v>
      </c>
      <c r="E82" s="3">
        <v>0.97809999999999997</v>
      </c>
      <c r="F82" s="3">
        <v>1.0337000000000001</v>
      </c>
      <c r="G82" s="3">
        <v>1.5129999999999999</v>
      </c>
      <c r="H82" s="3">
        <v>1.08</v>
      </c>
      <c r="I82" s="3">
        <v>0.25</v>
      </c>
      <c r="J82" s="3"/>
      <c r="K82" s="3" t="s">
        <v>89</v>
      </c>
      <c r="L82" s="3" t="s">
        <v>552</v>
      </c>
      <c r="M82" s="3">
        <v>-0.12525113099999999</v>
      </c>
      <c r="O82" s="7">
        <f t="shared" si="2"/>
        <v>0.48364011973422749</v>
      </c>
      <c r="P82" s="11" t="str">
        <f t="shared" si="3"/>
        <v>No</v>
      </c>
    </row>
    <row r="83" spans="1:16" x14ac:dyDescent="0.2">
      <c r="A83" s="3" t="s">
        <v>90</v>
      </c>
      <c r="B83" s="3">
        <v>1.0751999999999999</v>
      </c>
      <c r="C83" s="3">
        <v>1.3960999999999999</v>
      </c>
      <c r="D83" s="3">
        <v>0.75619999999999998</v>
      </c>
      <c r="E83" s="3">
        <v>0.65759999999999996</v>
      </c>
      <c r="F83" s="3">
        <v>1.3369</v>
      </c>
      <c r="G83" s="3">
        <v>1.7650999999999999</v>
      </c>
      <c r="H83" s="3">
        <v>1.1599999999999999</v>
      </c>
      <c r="I83" s="3">
        <v>0.38</v>
      </c>
      <c r="J83" s="3"/>
      <c r="K83" s="3" t="s">
        <v>90</v>
      </c>
      <c r="L83" s="3" t="s">
        <v>553</v>
      </c>
      <c r="M83" s="3">
        <v>-0.134894773</v>
      </c>
      <c r="O83" s="7">
        <f t="shared" si="2"/>
        <v>0.37981239570684833</v>
      </c>
      <c r="P83" s="11" t="str">
        <f t="shared" si="3"/>
        <v>No</v>
      </c>
    </row>
    <row r="84" spans="1:16" x14ac:dyDescent="0.2">
      <c r="A84" s="3" t="s">
        <v>91</v>
      </c>
      <c r="B84" s="3">
        <v>0.87380000000000002</v>
      </c>
      <c r="C84" s="3">
        <v>5.1618000000000004</v>
      </c>
      <c r="D84" s="3">
        <v>0.79569999999999996</v>
      </c>
      <c r="E84" s="3">
        <v>0.77249999999999996</v>
      </c>
      <c r="F84" s="3">
        <v>1.2139</v>
      </c>
      <c r="G84" s="3">
        <v>2.2225000000000001</v>
      </c>
      <c r="H84" s="3">
        <v>0</v>
      </c>
      <c r="I84" s="3">
        <v>0</v>
      </c>
      <c r="J84" s="3"/>
      <c r="K84" s="3" t="s">
        <v>91</v>
      </c>
      <c r="L84" s="3" t="s">
        <v>554</v>
      </c>
      <c r="M84" s="3">
        <v>-0.149527983</v>
      </c>
      <c r="O84" s="7">
        <f t="shared" si="2"/>
        <v>0.28440038686095259</v>
      </c>
      <c r="P84" s="11" t="str">
        <f t="shared" si="3"/>
        <v>No</v>
      </c>
    </row>
    <row r="85" spans="1:16" x14ac:dyDescent="0.2">
      <c r="A85" s="3" t="s">
        <v>92</v>
      </c>
      <c r="B85" s="3">
        <v>0.88859999999999995</v>
      </c>
      <c r="C85" s="3">
        <v>2.1360999999999999</v>
      </c>
      <c r="D85" s="3">
        <v>0.77429999999999999</v>
      </c>
      <c r="E85" s="3">
        <v>0.75329999999999997</v>
      </c>
      <c r="F85" s="3">
        <v>1.1685000000000001</v>
      </c>
      <c r="G85" s="3">
        <v>0.97199999999999998</v>
      </c>
      <c r="H85" s="3">
        <v>1.1200000000000001</v>
      </c>
      <c r="I85" s="3">
        <v>0.48</v>
      </c>
      <c r="J85" s="3"/>
      <c r="K85" s="3" t="s">
        <v>92</v>
      </c>
      <c r="L85" s="3" t="s">
        <v>555</v>
      </c>
      <c r="M85" s="3">
        <v>-0.15333738299999999</v>
      </c>
      <c r="O85" s="7">
        <f t="shared" si="2"/>
        <v>0.61141510697637025</v>
      </c>
      <c r="P85" s="11" t="str">
        <f t="shared" si="3"/>
        <v>No</v>
      </c>
    </row>
    <row r="86" spans="1:16" x14ac:dyDescent="0.2">
      <c r="A86" s="3" t="s">
        <v>93</v>
      </c>
      <c r="B86" s="3">
        <v>1.4597</v>
      </c>
      <c r="C86" s="3">
        <v>1.0761000000000001</v>
      </c>
      <c r="D86" s="3">
        <v>0.84189999999999998</v>
      </c>
      <c r="E86" s="3">
        <v>1.1051</v>
      </c>
      <c r="F86" s="3">
        <v>1.6727000000000001</v>
      </c>
      <c r="G86" s="3">
        <v>1.7253000000000001</v>
      </c>
      <c r="H86" s="3">
        <v>1.31</v>
      </c>
      <c r="I86" s="3">
        <v>0.33</v>
      </c>
      <c r="J86" s="3"/>
      <c r="K86" s="3" t="s">
        <v>93</v>
      </c>
      <c r="L86" s="3" t="s">
        <v>556</v>
      </c>
      <c r="M86" s="3">
        <v>-0.15408287300000001</v>
      </c>
      <c r="O86" s="7">
        <f t="shared" si="2"/>
        <v>8.5045400682216055E-2</v>
      </c>
      <c r="P86" s="11" t="str">
        <f t="shared" si="3"/>
        <v>No</v>
      </c>
    </row>
    <row r="87" spans="1:16" x14ac:dyDescent="0.2">
      <c r="A87" s="3" t="s">
        <v>94</v>
      </c>
      <c r="B87" s="3">
        <v>1.7037</v>
      </c>
      <c r="C87" s="3">
        <v>1.2324999999999999</v>
      </c>
      <c r="D87" s="3">
        <v>1.1919999999999999</v>
      </c>
      <c r="E87" s="3">
        <v>0.92279999999999995</v>
      </c>
      <c r="F87" s="3">
        <v>1.3863000000000001</v>
      </c>
      <c r="G87" s="3">
        <v>1.4906999999999999</v>
      </c>
      <c r="H87" s="3">
        <v>1.32</v>
      </c>
      <c r="I87" s="3">
        <v>0.25</v>
      </c>
      <c r="J87" s="3"/>
      <c r="K87" s="3" t="s">
        <v>94</v>
      </c>
      <c r="L87" s="3" t="s">
        <v>557</v>
      </c>
      <c r="M87" s="3">
        <v>-0.15431255699999999</v>
      </c>
      <c r="O87" s="7">
        <f t="shared" si="2"/>
        <v>3.2899117153773749E-2</v>
      </c>
      <c r="P87" s="11" t="str">
        <f t="shared" si="3"/>
        <v>Yes</v>
      </c>
    </row>
    <row r="88" spans="1:16" x14ac:dyDescent="0.2">
      <c r="A88" s="3" t="s">
        <v>95</v>
      </c>
      <c r="B88" s="3">
        <v>1.3647</v>
      </c>
      <c r="C88" s="3">
        <v>1.7373000000000001</v>
      </c>
      <c r="D88" s="3">
        <v>1.1709000000000001</v>
      </c>
      <c r="E88" s="3">
        <v>1.0105</v>
      </c>
      <c r="F88" s="3">
        <v>1.0889</v>
      </c>
      <c r="G88" s="3">
        <v>3.3929999999999998</v>
      </c>
      <c r="H88" s="3">
        <v>1.63</v>
      </c>
      <c r="I88" s="3">
        <v>0.82</v>
      </c>
      <c r="J88" s="3"/>
      <c r="K88" s="3" t="s">
        <v>95</v>
      </c>
      <c r="L88" s="3" t="s">
        <v>558</v>
      </c>
      <c r="M88" s="3">
        <v>-0.15635781100000001</v>
      </c>
      <c r="O88" s="7">
        <f t="shared" si="2"/>
        <v>0.1494461439470216</v>
      </c>
      <c r="P88" s="11" t="str">
        <f t="shared" si="3"/>
        <v>No</v>
      </c>
    </row>
    <row r="89" spans="1:16" x14ac:dyDescent="0.2">
      <c r="A89" s="3" t="s">
        <v>96</v>
      </c>
      <c r="B89" s="3">
        <v>1.3637999999999999</v>
      </c>
      <c r="C89" s="3">
        <v>1.1112</v>
      </c>
      <c r="D89" s="3">
        <v>1.0866</v>
      </c>
      <c r="E89" s="3">
        <v>1.1138999999999999</v>
      </c>
      <c r="F89" s="3">
        <v>1.1426000000000001</v>
      </c>
      <c r="G89" s="3">
        <v>2.1587000000000001</v>
      </c>
      <c r="H89" s="3">
        <v>1.33</v>
      </c>
      <c r="I89" s="3">
        <v>0.38</v>
      </c>
      <c r="J89" s="3"/>
      <c r="K89" s="3" t="s">
        <v>96</v>
      </c>
      <c r="L89" s="3" t="s">
        <v>559</v>
      </c>
      <c r="M89" s="3">
        <v>-0.16062674599999999</v>
      </c>
      <c r="O89" s="7">
        <f t="shared" si="2"/>
        <v>0.11189731438395899</v>
      </c>
      <c r="P89" s="11" t="str">
        <f t="shared" si="3"/>
        <v>No</v>
      </c>
    </row>
    <row r="90" spans="1:16" x14ac:dyDescent="0.2">
      <c r="A90" s="3" t="s">
        <v>97</v>
      </c>
      <c r="B90" s="3">
        <v>1.4120999999999999</v>
      </c>
      <c r="C90" s="3">
        <v>1.1235999999999999</v>
      </c>
      <c r="D90" s="3">
        <v>2.0485000000000002</v>
      </c>
      <c r="E90" s="3">
        <v>1.6605000000000001</v>
      </c>
      <c r="F90" s="3">
        <v>0.93930000000000002</v>
      </c>
      <c r="G90" s="3">
        <v>1.8118000000000001</v>
      </c>
      <c r="H90" s="3">
        <v>1.5</v>
      </c>
      <c r="I90" s="3">
        <v>0.38</v>
      </c>
      <c r="J90" s="3"/>
      <c r="K90" s="3" t="s">
        <v>97</v>
      </c>
      <c r="L90" s="3" t="s">
        <v>560</v>
      </c>
      <c r="M90" s="3">
        <v>-0.16418134500000001</v>
      </c>
      <c r="O90" s="7">
        <f t="shared" si="2"/>
        <v>3.3682716626483256E-2</v>
      </c>
      <c r="P90" s="11" t="str">
        <f t="shared" si="3"/>
        <v>Yes</v>
      </c>
    </row>
    <row r="91" spans="1:16" x14ac:dyDescent="0.2">
      <c r="A91" s="3" t="s">
        <v>98</v>
      </c>
      <c r="B91" s="3">
        <v>1.0669999999999999</v>
      </c>
      <c r="C91" s="3">
        <v>0.80569999999999997</v>
      </c>
      <c r="D91" s="3">
        <v>0.94610000000000005</v>
      </c>
      <c r="E91" s="3">
        <v>1.1818</v>
      </c>
      <c r="F91" s="3">
        <v>1.5084</v>
      </c>
      <c r="G91" s="3">
        <v>1.8246</v>
      </c>
      <c r="H91" s="3">
        <v>1.22</v>
      </c>
      <c r="I91" s="3">
        <v>0.35</v>
      </c>
      <c r="J91" s="3"/>
      <c r="K91" s="3" t="s">
        <v>98</v>
      </c>
      <c r="L91" s="3" t="s">
        <v>561</v>
      </c>
      <c r="M91" s="3">
        <v>-0.16443767500000001</v>
      </c>
      <c r="O91" s="7">
        <f t="shared" si="2"/>
        <v>0.21089100158946125</v>
      </c>
      <c r="P91" s="11" t="str">
        <f t="shared" si="3"/>
        <v>No</v>
      </c>
    </row>
    <row r="92" spans="1:16" x14ac:dyDescent="0.2">
      <c r="A92" s="3" t="s">
        <v>99</v>
      </c>
      <c r="B92" s="3">
        <v>0.98540000000000005</v>
      </c>
      <c r="C92" s="3">
        <v>0.97509999999999997</v>
      </c>
      <c r="D92" s="3">
        <v>0.78779999999999994</v>
      </c>
      <c r="E92" s="3">
        <v>0.92300000000000004</v>
      </c>
      <c r="F92" s="3">
        <v>2.0304000000000002</v>
      </c>
      <c r="G92" s="3">
        <v>1.2101999999999999</v>
      </c>
      <c r="H92" s="3">
        <v>1.1499999999999999</v>
      </c>
      <c r="I92" s="3">
        <v>0.41</v>
      </c>
      <c r="J92" s="3"/>
      <c r="K92" s="3" t="s">
        <v>99</v>
      </c>
      <c r="L92" s="3" t="s">
        <v>562</v>
      </c>
      <c r="M92" s="3">
        <v>-0.16612030999999999</v>
      </c>
      <c r="O92" s="7">
        <f t="shared" si="2"/>
        <v>0.44713396454979548</v>
      </c>
      <c r="P92" s="11" t="str">
        <f t="shared" si="3"/>
        <v>No</v>
      </c>
    </row>
    <row r="93" spans="1:16" x14ac:dyDescent="0.2">
      <c r="A93" s="3" t="s">
        <v>100</v>
      </c>
      <c r="B93" s="3">
        <v>1.0108999999999999</v>
      </c>
      <c r="C93" s="3">
        <v>1.0536000000000001</v>
      </c>
      <c r="D93" s="3">
        <v>0.97709999999999997</v>
      </c>
      <c r="E93" s="3">
        <v>1.1364000000000001</v>
      </c>
      <c r="F93" s="3">
        <v>1.4241999999999999</v>
      </c>
      <c r="G93" s="3">
        <v>1.1141000000000001</v>
      </c>
      <c r="H93" s="3">
        <v>1.1200000000000001</v>
      </c>
      <c r="I93" s="3">
        <v>0.15</v>
      </c>
      <c r="J93" s="3"/>
      <c r="K93" s="3" t="s">
        <v>100</v>
      </c>
      <c r="L93" s="3" t="s">
        <v>563</v>
      </c>
      <c r="M93" s="3">
        <v>-0.21973763700000001</v>
      </c>
      <c r="O93" s="7">
        <f>_xlfn.T.TEST($B$2:$G$2,B93:G93,2,3)</f>
        <v>0.12897875200774547</v>
      </c>
      <c r="P93" s="11" t="str">
        <f t="shared" si="3"/>
        <v>No</v>
      </c>
    </row>
    <row r="94" spans="1:16" x14ac:dyDescent="0.2">
      <c r="K94" s="3" t="s">
        <v>9</v>
      </c>
      <c r="L94" s="3" t="s">
        <v>192</v>
      </c>
      <c r="M94" s="3"/>
    </row>
    <row r="95" spans="1:16" x14ac:dyDescent="0.2">
      <c r="K95" s="3" t="s">
        <v>9</v>
      </c>
      <c r="L95" s="3" t="s">
        <v>193</v>
      </c>
      <c r="M95" s="3"/>
      <c r="P95" t="s">
        <v>575</v>
      </c>
    </row>
    <row r="96" spans="1:16" x14ac:dyDescent="0.2">
      <c r="K96" s="3" t="s">
        <v>10</v>
      </c>
      <c r="L96" s="3" t="s">
        <v>194</v>
      </c>
      <c r="M96" s="3"/>
    </row>
    <row r="97" spans="11:16" x14ac:dyDescent="0.2">
      <c r="K97" s="3" t="s">
        <v>10</v>
      </c>
      <c r="L97" s="3" t="s">
        <v>101</v>
      </c>
      <c r="M97" s="3"/>
    </row>
    <row r="98" spans="11:16" x14ac:dyDescent="0.2">
      <c r="K98" s="3" t="s">
        <v>196</v>
      </c>
      <c r="L98" s="3" t="s">
        <v>197</v>
      </c>
    </row>
    <row r="99" spans="11:16" x14ac:dyDescent="0.2">
      <c r="K99" s="3" t="s">
        <v>196</v>
      </c>
      <c r="L99" s="3" t="s">
        <v>198</v>
      </c>
      <c r="O99" t="s">
        <v>578</v>
      </c>
      <c r="P99">
        <f>(26+17)/180</f>
        <v>0.2388888888888889</v>
      </c>
    </row>
  </sheetData>
  <mergeCells count="1">
    <mergeCell ref="O2:P2"/>
  </mergeCells>
  <conditionalFormatting sqref="O3:O93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EA91-C24E-4640-90BE-8FB0CCEDB1CC}">
  <dimension ref="A1:S99"/>
  <sheetViews>
    <sheetView topLeftCell="G69" zoomScale="111" workbookViewId="0">
      <selection activeCell="S69" sqref="S1:S1048576"/>
    </sheetView>
  </sheetViews>
  <sheetFormatPr baseColWidth="10" defaultColWidth="11" defaultRowHeight="16" x14ac:dyDescent="0.2"/>
  <cols>
    <col min="13" max="13" width="19.1640625" customWidth="1"/>
  </cols>
  <sheetData>
    <row r="1" spans="1:19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2"/>
      <c r="K1" s="4" t="s">
        <v>199</v>
      </c>
      <c r="L1" s="4" t="s">
        <v>0</v>
      </c>
      <c r="M1" s="4" t="s">
        <v>570</v>
      </c>
      <c r="O1" s="10" t="s">
        <v>572</v>
      </c>
      <c r="P1" s="10" t="s">
        <v>573</v>
      </c>
      <c r="S1"/>
    </row>
    <row r="2" spans="1:19" x14ac:dyDescent="0.2">
      <c r="A2" s="4" t="s">
        <v>9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0</v>
      </c>
      <c r="I2" s="3"/>
      <c r="O2" s="16" t="s">
        <v>574</v>
      </c>
      <c r="P2" s="16"/>
    </row>
    <row r="3" spans="1:19" x14ac:dyDescent="0.2">
      <c r="A3" s="4" t="s">
        <v>10</v>
      </c>
      <c r="B3" s="6">
        <v>3.6395</v>
      </c>
      <c r="C3" s="6">
        <v>3.2953000000000001</v>
      </c>
      <c r="D3" s="6">
        <v>3.8847999999999998</v>
      </c>
      <c r="E3" s="6">
        <v>3.0653000000000001</v>
      </c>
      <c r="F3" s="6">
        <v>2.4588000000000001</v>
      </c>
      <c r="G3" s="5">
        <v>3.27</v>
      </c>
      <c r="H3" s="5">
        <v>0.49</v>
      </c>
      <c r="I3" s="3"/>
      <c r="O3" s="7">
        <f>_xlfn.T.TEST($B$2:$F$2,B3:F3,2,3)</f>
        <v>7.7400561453159589E-4</v>
      </c>
      <c r="P3" s="11" t="str">
        <f>IF(O3&lt;0.05,"Yes","No")</f>
        <v>Yes</v>
      </c>
    </row>
    <row r="4" spans="1:19" x14ac:dyDescent="0.2">
      <c r="A4" s="4" t="s">
        <v>11</v>
      </c>
      <c r="B4" s="6">
        <v>3.0339999999999998</v>
      </c>
      <c r="C4" s="6">
        <v>0.71989999999999998</v>
      </c>
      <c r="D4" s="6">
        <v>2.0512000000000001</v>
      </c>
      <c r="E4" s="6">
        <v>2.0628000000000002</v>
      </c>
      <c r="F4" s="6">
        <v>1.2335</v>
      </c>
      <c r="G4" s="5">
        <v>1.82</v>
      </c>
      <c r="H4" s="5">
        <v>0.79</v>
      </c>
      <c r="I4" s="3"/>
      <c r="K4" s="5" t="s">
        <v>384</v>
      </c>
      <c r="L4" s="5" t="s">
        <v>11</v>
      </c>
      <c r="M4" s="6">
        <v>7.0082793240000001</v>
      </c>
      <c r="O4" s="7">
        <f t="shared" ref="O4:O67" si="0">_xlfn.T.TEST($B$2:$F$2,B4:F4,2,3)</f>
        <v>0.10722200693768276</v>
      </c>
      <c r="P4" s="11" t="str">
        <f t="shared" ref="P4:P67" si="1">IF(O4&lt;0.05,"Yes","No")</f>
        <v>No</v>
      </c>
    </row>
    <row r="5" spans="1:19" x14ac:dyDescent="0.2">
      <c r="A5" s="4" t="s">
        <v>12</v>
      </c>
      <c r="B5" s="6">
        <v>1.1855</v>
      </c>
      <c r="C5" s="6">
        <v>0.68969999999999998</v>
      </c>
      <c r="D5" s="6">
        <v>1.1284000000000001</v>
      </c>
      <c r="E5" s="6">
        <v>1.0765</v>
      </c>
      <c r="F5" s="6">
        <v>0.94069999999999998</v>
      </c>
      <c r="G5" s="5">
        <v>1</v>
      </c>
      <c r="H5" s="5">
        <v>0.18</v>
      </c>
      <c r="I5" s="3"/>
      <c r="K5" s="5" t="s">
        <v>385</v>
      </c>
      <c r="L5" s="5" t="s">
        <v>12</v>
      </c>
      <c r="M5" s="6">
        <v>4.6723852160000003</v>
      </c>
      <c r="O5" s="7">
        <f t="shared" si="0"/>
        <v>0.96474174938337476</v>
      </c>
      <c r="P5" s="11" t="str">
        <f t="shared" si="1"/>
        <v>No</v>
      </c>
    </row>
    <row r="6" spans="1:19" x14ac:dyDescent="0.2">
      <c r="A6" s="4" t="s">
        <v>13</v>
      </c>
      <c r="B6" s="6">
        <v>0.87709999999999999</v>
      </c>
      <c r="C6" s="6">
        <v>1.018</v>
      </c>
      <c r="D6" s="6">
        <v>1.9176</v>
      </c>
      <c r="E6" s="6">
        <v>0.92530000000000001</v>
      </c>
      <c r="F6" s="6">
        <v>1.4384999999999999</v>
      </c>
      <c r="G6" s="5">
        <v>1.24</v>
      </c>
      <c r="H6" s="5">
        <v>0.39</v>
      </c>
      <c r="I6" s="3"/>
      <c r="K6" s="5" t="s">
        <v>386</v>
      </c>
      <c r="L6" s="5" t="s">
        <v>13</v>
      </c>
      <c r="M6" s="6">
        <v>4.6063566209999998</v>
      </c>
      <c r="O6" s="7">
        <f t="shared" si="0"/>
        <v>0.29890920459198317</v>
      </c>
      <c r="P6" s="11" t="str">
        <f t="shared" si="1"/>
        <v>No</v>
      </c>
    </row>
    <row r="7" spans="1:19" x14ac:dyDescent="0.2">
      <c r="A7" s="4" t="s">
        <v>14</v>
      </c>
      <c r="B7" s="6">
        <v>1.3007</v>
      </c>
      <c r="C7" s="6">
        <v>0.56430000000000002</v>
      </c>
      <c r="D7" s="6">
        <v>0.60729999999999995</v>
      </c>
      <c r="E7" s="6">
        <v>0.66520000000000001</v>
      </c>
      <c r="F7" s="6">
        <v>0.52139999999999997</v>
      </c>
      <c r="G7" s="5">
        <v>0.73</v>
      </c>
      <c r="H7" s="5">
        <v>0.28999999999999998</v>
      </c>
      <c r="I7" s="3"/>
      <c r="K7" s="5" t="s">
        <v>387</v>
      </c>
      <c r="L7" s="5" t="s">
        <v>14</v>
      </c>
      <c r="M7" s="6">
        <v>4.5662837029999999</v>
      </c>
      <c r="O7" s="7">
        <f t="shared" si="0"/>
        <v>0.1364039191537002</v>
      </c>
      <c r="P7" s="11" t="str">
        <f t="shared" si="1"/>
        <v>No</v>
      </c>
    </row>
    <row r="8" spans="1:19" x14ac:dyDescent="0.2">
      <c r="A8" s="4" t="s">
        <v>15</v>
      </c>
      <c r="B8" s="6">
        <v>1.1315</v>
      </c>
      <c r="C8" s="6">
        <v>0.72409999999999997</v>
      </c>
      <c r="D8" s="6">
        <v>1.2967</v>
      </c>
      <c r="E8" s="6">
        <v>0.91710000000000003</v>
      </c>
      <c r="F8" s="6">
        <v>0.97</v>
      </c>
      <c r="G8" s="5">
        <v>1.01</v>
      </c>
      <c r="H8" s="5">
        <v>0.19</v>
      </c>
      <c r="I8" s="3"/>
      <c r="K8" s="5" t="s">
        <v>388</v>
      </c>
      <c r="L8" s="5" t="s">
        <v>15</v>
      </c>
      <c r="M8" s="6">
        <v>4.2121071819999996</v>
      </c>
      <c r="O8" s="7">
        <f t="shared" si="0"/>
        <v>0.93927248116506912</v>
      </c>
      <c r="P8" s="11" t="str">
        <f t="shared" si="1"/>
        <v>No</v>
      </c>
    </row>
    <row r="9" spans="1:19" x14ac:dyDescent="0.2">
      <c r="A9" s="4" t="s">
        <v>16</v>
      </c>
      <c r="B9" s="6">
        <v>1.07</v>
      </c>
      <c r="C9" s="6">
        <v>0.69120000000000004</v>
      </c>
      <c r="D9" s="6">
        <v>0.66820000000000002</v>
      </c>
      <c r="E9" s="6">
        <v>0.48620000000000002</v>
      </c>
      <c r="F9" s="6">
        <v>0.79349999999999998</v>
      </c>
      <c r="G9" s="5">
        <v>0.74</v>
      </c>
      <c r="H9" s="5">
        <v>0.19</v>
      </c>
      <c r="I9" s="3"/>
      <c r="K9" s="5" t="s">
        <v>389</v>
      </c>
      <c r="L9" s="5" t="s">
        <v>16</v>
      </c>
      <c r="M9" s="6">
        <v>4.170774937</v>
      </c>
      <c r="O9" s="7">
        <f t="shared" si="0"/>
        <v>5.4435536902840947E-2</v>
      </c>
      <c r="P9" s="11" t="str">
        <f t="shared" si="1"/>
        <v>No</v>
      </c>
    </row>
    <row r="10" spans="1:19" x14ac:dyDescent="0.2">
      <c r="A10" s="4" t="s">
        <v>17</v>
      </c>
      <c r="B10" s="6">
        <v>0.89910000000000001</v>
      </c>
      <c r="C10" s="6">
        <v>0.78710000000000002</v>
      </c>
      <c r="D10" s="6">
        <v>1.0569999999999999</v>
      </c>
      <c r="E10" s="6">
        <v>0.80620000000000003</v>
      </c>
      <c r="F10" s="6">
        <v>1.3077000000000001</v>
      </c>
      <c r="G10" s="5">
        <v>0.97</v>
      </c>
      <c r="H10" s="5">
        <v>0.19</v>
      </c>
      <c r="I10" s="3"/>
      <c r="K10" s="5" t="s">
        <v>390</v>
      </c>
      <c r="L10" s="5" t="s">
        <v>17</v>
      </c>
      <c r="M10" s="6">
        <v>4.0503058430000003</v>
      </c>
      <c r="O10" s="7">
        <f t="shared" si="0"/>
        <v>0.78221796834451374</v>
      </c>
      <c r="P10" s="11" t="str">
        <f t="shared" si="1"/>
        <v>No</v>
      </c>
    </row>
    <row r="11" spans="1:19" x14ac:dyDescent="0.2">
      <c r="A11" s="4" t="s">
        <v>18</v>
      </c>
      <c r="B11" s="6">
        <v>2.3157000000000001</v>
      </c>
      <c r="C11" s="6">
        <v>0.79420000000000002</v>
      </c>
      <c r="D11" s="6">
        <v>1.4693000000000001</v>
      </c>
      <c r="E11" s="6">
        <v>0.99039999999999995</v>
      </c>
      <c r="F11" s="6">
        <v>1.0731999999999999</v>
      </c>
      <c r="G11" s="5">
        <v>1.33</v>
      </c>
      <c r="H11" s="5">
        <v>0.54</v>
      </c>
      <c r="I11" s="3"/>
      <c r="K11" s="5" t="s">
        <v>391</v>
      </c>
      <c r="L11" s="5" t="s">
        <v>18</v>
      </c>
      <c r="M11" s="6">
        <v>3.771796465</v>
      </c>
      <c r="O11" s="7">
        <f t="shared" si="0"/>
        <v>0.29072632612375049</v>
      </c>
      <c r="P11" s="11" t="str">
        <f t="shared" si="1"/>
        <v>No</v>
      </c>
    </row>
    <row r="12" spans="1:19" x14ac:dyDescent="0.2">
      <c r="A12" s="4" t="s">
        <v>19</v>
      </c>
      <c r="B12" s="6">
        <v>1.29</v>
      </c>
      <c r="C12" s="6">
        <v>1.0059</v>
      </c>
      <c r="D12" s="6">
        <v>0.9516</v>
      </c>
      <c r="E12" s="6">
        <v>1.1606000000000001</v>
      </c>
      <c r="F12" s="6">
        <v>1.3531</v>
      </c>
      <c r="G12" s="5">
        <v>1.1499999999999999</v>
      </c>
      <c r="H12" s="5">
        <v>0.16</v>
      </c>
      <c r="I12" s="3"/>
      <c r="K12" s="5" t="s">
        <v>392</v>
      </c>
      <c r="L12" s="5" t="s">
        <v>19</v>
      </c>
      <c r="M12" s="6">
        <v>3.680223942</v>
      </c>
      <c r="O12" s="7">
        <f t="shared" si="0"/>
        <v>0.12200824927318905</v>
      </c>
      <c r="P12" s="11" t="str">
        <f t="shared" si="1"/>
        <v>No</v>
      </c>
    </row>
    <row r="13" spans="1:19" x14ac:dyDescent="0.2">
      <c r="A13" s="4" t="s">
        <v>20</v>
      </c>
      <c r="B13" s="6">
        <v>1.2049000000000001</v>
      </c>
      <c r="C13" s="6">
        <v>0.60719999999999996</v>
      </c>
      <c r="D13" s="6">
        <v>0.93540000000000001</v>
      </c>
      <c r="E13" s="6">
        <v>0.87680000000000002</v>
      </c>
      <c r="F13" s="6">
        <v>1.0152000000000001</v>
      </c>
      <c r="G13" s="5">
        <v>0.93</v>
      </c>
      <c r="H13" s="5">
        <v>0.19</v>
      </c>
      <c r="I13" s="3"/>
      <c r="K13" s="5" t="s">
        <v>393</v>
      </c>
      <c r="L13" s="5" t="s">
        <v>20</v>
      </c>
      <c r="M13" s="6">
        <v>3.6527433399999998</v>
      </c>
      <c r="O13" s="7">
        <f t="shared" si="0"/>
        <v>0.50038418733006584</v>
      </c>
      <c r="P13" s="11" t="str">
        <f t="shared" si="1"/>
        <v>No</v>
      </c>
    </row>
    <row r="14" spans="1:19" x14ac:dyDescent="0.2">
      <c r="A14" s="4" t="s">
        <v>21</v>
      </c>
      <c r="B14" s="6">
        <v>0.9718</v>
      </c>
      <c r="C14" s="6">
        <v>0.48620000000000002</v>
      </c>
      <c r="D14" s="6">
        <v>0.77170000000000005</v>
      </c>
      <c r="E14" s="6">
        <v>1.0388999999999999</v>
      </c>
      <c r="F14" s="6">
        <v>1.1382000000000001</v>
      </c>
      <c r="G14" s="5">
        <v>0.88</v>
      </c>
      <c r="H14" s="5">
        <v>0.23</v>
      </c>
      <c r="I14" s="3"/>
      <c r="K14" s="5" t="s">
        <v>394</v>
      </c>
      <c r="L14" s="5" t="s">
        <v>21</v>
      </c>
      <c r="M14" s="6">
        <v>3.407572746</v>
      </c>
      <c r="O14" s="7">
        <f t="shared" si="0"/>
        <v>0.36265796624125229</v>
      </c>
      <c r="P14" s="11" t="str">
        <f t="shared" si="1"/>
        <v>No</v>
      </c>
    </row>
    <row r="15" spans="1:19" x14ac:dyDescent="0.2">
      <c r="A15" s="4" t="s">
        <v>22</v>
      </c>
      <c r="B15" s="6">
        <v>1.1168</v>
      </c>
      <c r="C15" s="6">
        <v>0.58389999999999997</v>
      </c>
      <c r="D15" s="6">
        <v>0.80510000000000004</v>
      </c>
      <c r="E15" s="6">
        <v>1.1604000000000001</v>
      </c>
      <c r="F15" s="6">
        <v>0.96299999999999997</v>
      </c>
      <c r="G15" s="5">
        <v>0.93</v>
      </c>
      <c r="H15" s="5">
        <v>0.21</v>
      </c>
      <c r="I15" s="3"/>
      <c r="K15" s="5" t="s">
        <v>395</v>
      </c>
      <c r="L15" s="5" t="s">
        <v>22</v>
      </c>
      <c r="M15" s="6">
        <v>3.4051084519999999</v>
      </c>
      <c r="O15" s="7">
        <f t="shared" si="0"/>
        <v>0.52240230054600323</v>
      </c>
      <c r="P15" s="11" t="str">
        <f t="shared" si="1"/>
        <v>No</v>
      </c>
    </row>
    <row r="16" spans="1:19" x14ac:dyDescent="0.2">
      <c r="A16" s="4" t="s">
        <v>23</v>
      </c>
      <c r="B16" s="6">
        <v>0.66439999999999999</v>
      </c>
      <c r="C16" s="6">
        <v>0.28270000000000001</v>
      </c>
      <c r="D16" s="6">
        <v>0.72619999999999996</v>
      </c>
      <c r="E16" s="6">
        <v>0.7006</v>
      </c>
      <c r="F16" s="6">
        <v>0.64359999999999995</v>
      </c>
      <c r="G16" s="5">
        <v>0.6</v>
      </c>
      <c r="H16" s="5">
        <v>0.16</v>
      </c>
      <c r="I16" s="3"/>
      <c r="K16" s="5" t="s">
        <v>396</v>
      </c>
      <c r="L16" s="5" t="s">
        <v>23</v>
      </c>
      <c r="M16" s="6">
        <v>3.386836052</v>
      </c>
      <c r="O16" s="7">
        <f t="shared" si="0"/>
        <v>8.2348596621481095E-3</v>
      </c>
      <c r="P16" s="11" t="str">
        <f t="shared" si="1"/>
        <v>Yes</v>
      </c>
    </row>
    <row r="17" spans="1:16" x14ac:dyDescent="0.2">
      <c r="A17" s="4" t="s">
        <v>24</v>
      </c>
      <c r="B17" s="6">
        <v>2.0789</v>
      </c>
      <c r="C17" s="6">
        <v>0.61739999999999995</v>
      </c>
      <c r="D17" s="6">
        <v>0.94889999999999997</v>
      </c>
      <c r="E17" s="6">
        <v>1.0634999999999999</v>
      </c>
      <c r="F17" s="6">
        <v>1.0327</v>
      </c>
      <c r="G17" s="5">
        <v>1.1499999999999999</v>
      </c>
      <c r="H17" s="5">
        <v>0.49</v>
      </c>
      <c r="I17" s="3"/>
      <c r="K17" s="5" t="s">
        <v>397</v>
      </c>
      <c r="L17" s="5" t="s">
        <v>24</v>
      </c>
      <c r="M17" s="6">
        <v>3.3573431970000001</v>
      </c>
      <c r="O17" s="7">
        <f t="shared" si="0"/>
        <v>0.57885033092586613</v>
      </c>
      <c r="P17" s="11" t="str">
        <f t="shared" si="1"/>
        <v>No</v>
      </c>
    </row>
    <row r="18" spans="1:16" x14ac:dyDescent="0.2">
      <c r="A18" s="4" t="s">
        <v>25</v>
      </c>
      <c r="B18" s="6">
        <v>0.4325</v>
      </c>
      <c r="C18" s="6">
        <v>0.4612</v>
      </c>
      <c r="D18" s="6">
        <v>0.24690000000000001</v>
      </c>
      <c r="E18" s="6">
        <v>0.6774</v>
      </c>
      <c r="F18" s="6">
        <v>0.8286</v>
      </c>
      <c r="G18" s="5">
        <v>0.53</v>
      </c>
      <c r="H18" s="5">
        <v>0.2</v>
      </c>
      <c r="I18" s="3"/>
      <c r="K18" s="5" t="s">
        <v>398</v>
      </c>
      <c r="L18" s="5" t="s">
        <v>25</v>
      </c>
      <c r="M18" s="6">
        <v>3.3167896269999999</v>
      </c>
      <c r="O18" s="7">
        <f t="shared" si="0"/>
        <v>9.6906292785887208E-3</v>
      </c>
      <c r="P18" s="11" t="str">
        <f t="shared" si="1"/>
        <v>Yes</v>
      </c>
    </row>
    <row r="19" spans="1:16" x14ac:dyDescent="0.2">
      <c r="A19" s="4" t="s">
        <v>26</v>
      </c>
      <c r="B19" s="6">
        <v>1.5357000000000001</v>
      </c>
      <c r="C19" s="6">
        <v>0.82050000000000001</v>
      </c>
      <c r="D19" s="6">
        <v>1.0790999999999999</v>
      </c>
      <c r="E19" s="6">
        <v>0.77149999999999996</v>
      </c>
      <c r="F19" s="6">
        <v>1.0829</v>
      </c>
      <c r="G19" s="5">
        <v>1.06</v>
      </c>
      <c r="H19" s="5">
        <v>0.27</v>
      </c>
      <c r="I19" s="3"/>
      <c r="K19" s="5" t="s">
        <v>399</v>
      </c>
      <c r="L19" s="5" t="s">
        <v>26</v>
      </c>
      <c r="M19" s="6">
        <v>3.2518672940000002</v>
      </c>
      <c r="O19" s="7">
        <f t="shared" si="0"/>
        <v>0.69116917329953786</v>
      </c>
      <c r="P19" s="11" t="str">
        <f t="shared" si="1"/>
        <v>No</v>
      </c>
    </row>
    <row r="20" spans="1:16" x14ac:dyDescent="0.2">
      <c r="A20" s="4" t="s">
        <v>27</v>
      </c>
      <c r="B20" s="6">
        <v>0.91720000000000002</v>
      </c>
      <c r="C20" s="6">
        <v>0.58599999999999997</v>
      </c>
      <c r="D20" s="6">
        <v>0.96319999999999995</v>
      </c>
      <c r="E20" s="6">
        <v>0.90869999999999995</v>
      </c>
      <c r="F20" s="6">
        <v>0.73399999999999999</v>
      </c>
      <c r="G20" s="5">
        <v>0.82</v>
      </c>
      <c r="H20" s="5">
        <v>0.14000000000000001</v>
      </c>
      <c r="I20" s="3"/>
      <c r="K20" s="5" t="s">
        <v>400</v>
      </c>
      <c r="L20" s="5" t="s">
        <v>27</v>
      </c>
      <c r="M20" s="6">
        <v>3.2274236680000001</v>
      </c>
      <c r="O20" s="7">
        <f t="shared" si="0"/>
        <v>6.5329966149100777E-2</v>
      </c>
      <c r="P20" s="11" t="str">
        <f t="shared" si="1"/>
        <v>No</v>
      </c>
    </row>
    <row r="21" spans="1:16" x14ac:dyDescent="0.2">
      <c r="A21" s="4" t="s">
        <v>28</v>
      </c>
      <c r="B21" s="6">
        <v>1.0829</v>
      </c>
      <c r="C21" s="6">
        <v>1.0126999999999999</v>
      </c>
      <c r="D21" s="6">
        <v>1.0863</v>
      </c>
      <c r="E21" s="6">
        <v>0.99039999999999995</v>
      </c>
      <c r="F21" s="6">
        <v>1.1627000000000001</v>
      </c>
      <c r="G21" s="5">
        <v>1.07</v>
      </c>
      <c r="H21" s="5">
        <v>0.06</v>
      </c>
      <c r="I21" s="3"/>
      <c r="K21" s="5" t="s">
        <v>401</v>
      </c>
      <c r="L21" s="5" t="s">
        <v>28</v>
      </c>
      <c r="M21" s="6">
        <v>3.1858823300000001</v>
      </c>
      <c r="O21" s="7">
        <f t="shared" si="0"/>
        <v>9.2960439620203686E-2</v>
      </c>
      <c r="P21" s="11" t="str">
        <f t="shared" si="1"/>
        <v>No</v>
      </c>
    </row>
    <row r="22" spans="1:16" x14ac:dyDescent="0.2">
      <c r="A22" s="4" t="s">
        <v>29</v>
      </c>
      <c r="B22" s="6">
        <v>0.8417</v>
      </c>
      <c r="C22" s="6">
        <v>1.0734999999999999</v>
      </c>
      <c r="D22" s="6">
        <v>1.0790999999999999</v>
      </c>
      <c r="E22" s="6">
        <v>0.64880000000000004</v>
      </c>
      <c r="F22" s="6">
        <v>0.96679999999999999</v>
      </c>
      <c r="G22" s="5">
        <v>0.92</v>
      </c>
      <c r="H22" s="5">
        <v>0.16</v>
      </c>
      <c r="I22" s="3"/>
      <c r="K22" s="5" t="s">
        <v>402</v>
      </c>
      <c r="L22" s="5" t="s">
        <v>29</v>
      </c>
      <c r="M22" s="6">
        <v>3.098227262</v>
      </c>
      <c r="O22" s="7">
        <f t="shared" si="0"/>
        <v>0.38917904473425063</v>
      </c>
      <c r="P22" s="11" t="str">
        <f t="shared" si="1"/>
        <v>No</v>
      </c>
    </row>
    <row r="23" spans="1:16" x14ac:dyDescent="0.2">
      <c r="A23" s="4" t="s">
        <v>30</v>
      </c>
      <c r="B23" s="6">
        <v>0.98070000000000002</v>
      </c>
      <c r="C23" s="6">
        <v>0.74270000000000003</v>
      </c>
      <c r="D23" s="6">
        <v>1.0238</v>
      </c>
      <c r="E23" s="6">
        <v>0.85829999999999995</v>
      </c>
      <c r="F23" s="6">
        <v>0.84919999999999995</v>
      </c>
      <c r="G23" s="5">
        <v>0.89</v>
      </c>
      <c r="H23" s="5">
        <v>0.1</v>
      </c>
      <c r="I23" s="3"/>
      <c r="K23" s="5" t="s">
        <v>403</v>
      </c>
      <c r="L23" s="5" t="s">
        <v>30</v>
      </c>
      <c r="M23" s="6">
        <v>3.0565350059999998</v>
      </c>
      <c r="O23" s="7">
        <f t="shared" si="0"/>
        <v>9.5749944409815685E-2</v>
      </c>
      <c r="P23" s="11" t="str">
        <f t="shared" si="1"/>
        <v>No</v>
      </c>
    </row>
    <row r="24" spans="1:16" x14ac:dyDescent="0.2">
      <c r="A24" s="4" t="s">
        <v>31</v>
      </c>
      <c r="B24" s="6">
        <v>0.97909999999999997</v>
      </c>
      <c r="C24" s="6">
        <v>0.54159999999999997</v>
      </c>
      <c r="D24" s="6">
        <v>0.71299999999999997</v>
      </c>
      <c r="E24" s="6">
        <v>0.79269999999999996</v>
      </c>
      <c r="F24" s="6">
        <v>0.94179999999999997</v>
      </c>
      <c r="G24" s="5">
        <v>0.79</v>
      </c>
      <c r="H24" s="5">
        <v>0.16</v>
      </c>
      <c r="I24" s="3"/>
      <c r="K24" s="5" t="s">
        <v>404</v>
      </c>
      <c r="L24" s="5" t="s">
        <v>31</v>
      </c>
      <c r="M24" s="6">
        <v>3.0519280430000002</v>
      </c>
      <c r="O24" s="7">
        <f t="shared" si="0"/>
        <v>6.0299304821379573E-2</v>
      </c>
      <c r="P24" s="11" t="str">
        <f t="shared" si="1"/>
        <v>No</v>
      </c>
    </row>
    <row r="25" spans="1:16" x14ac:dyDescent="0.2">
      <c r="A25" s="4" t="s">
        <v>32</v>
      </c>
      <c r="B25" s="6">
        <v>2.2383000000000002</v>
      </c>
      <c r="C25" s="6">
        <v>0.51649999999999996</v>
      </c>
      <c r="D25" s="6">
        <v>0.91180000000000005</v>
      </c>
      <c r="E25" s="6">
        <v>0.68459999999999999</v>
      </c>
      <c r="F25" s="6">
        <v>0.77829999999999999</v>
      </c>
      <c r="G25" s="5">
        <v>0</v>
      </c>
      <c r="H25" s="5">
        <v>0</v>
      </c>
      <c r="I25" s="3"/>
      <c r="K25" s="5" t="s">
        <v>405</v>
      </c>
      <c r="L25" s="5" t="s">
        <v>32</v>
      </c>
      <c r="M25" s="6">
        <v>3.0372281069999998</v>
      </c>
      <c r="O25" s="7">
        <f t="shared" si="0"/>
        <v>0.93740063376409</v>
      </c>
      <c r="P25" s="11" t="str">
        <f t="shared" si="1"/>
        <v>No</v>
      </c>
    </row>
    <row r="26" spans="1:16" x14ac:dyDescent="0.2">
      <c r="A26" s="4" t="s">
        <v>33</v>
      </c>
      <c r="B26" s="6">
        <v>0.69589999999999996</v>
      </c>
      <c r="C26" s="6">
        <v>0.36149999999999999</v>
      </c>
      <c r="D26" s="6">
        <v>0.56499999999999995</v>
      </c>
      <c r="E26" s="6">
        <v>0.52</v>
      </c>
      <c r="F26" s="6">
        <v>0.51329999999999998</v>
      </c>
      <c r="G26" s="5">
        <v>0.53</v>
      </c>
      <c r="H26" s="5">
        <v>0.11</v>
      </c>
      <c r="I26" s="3"/>
      <c r="K26" s="5" t="s">
        <v>406</v>
      </c>
      <c r="L26" s="5" t="s">
        <v>33</v>
      </c>
      <c r="M26" s="6">
        <v>2.9234516620000002</v>
      </c>
      <c r="O26" s="7">
        <f t="shared" si="0"/>
        <v>9.4294597310606637E-4</v>
      </c>
      <c r="P26" s="11" t="str">
        <f t="shared" si="1"/>
        <v>Yes</v>
      </c>
    </row>
    <row r="27" spans="1:16" x14ac:dyDescent="0.2">
      <c r="A27" s="4" t="s">
        <v>34</v>
      </c>
      <c r="B27" s="6">
        <v>0.96250000000000002</v>
      </c>
      <c r="C27" s="6">
        <v>0.51590000000000003</v>
      </c>
      <c r="D27" s="6">
        <v>0.86750000000000005</v>
      </c>
      <c r="E27" s="6">
        <v>0.76070000000000004</v>
      </c>
      <c r="F27" s="6">
        <v>3.3517999999999999</v>
      </c>
      <c r="G27" s="5">
        <v>0</v>
      </c>
      <c r="H27" s="5">
        <v>0</v>
      </c>
      <c r="I27" s="3"/>
      <c r="K27" s="5" t="s">
        <v>407</v>
      </c>
      <c r="L27" s="5" t="s">
        <v>34</v>
      </c>
      <c r="M27" s="6">
        <v>2.8742990490000002</v>
      </c>
      <c r="O27" s="7">
        <f t="shared" si="0"/>
        <v>0.60504540501042148</v>
      </c>
      <c r="P27" s="11" t="str">
        <f t="shared" si="1"/>
        <v>No</v>
      </c>
    </row>
    <row r="28" spans="1:16" x14ac:dyDescent="0.2">
      <c r="A28" s="4" t="s">
        <v>35</v>
      </c>
      <c r="B28" s="6">
        <v>1.145</v>
      </c>
      <c r="C28" s="6">
        <v>0.43109999999999998</v>
      </c>
      <c r="D28" s="6">
        <v>0.95009999999999994</v>
      </c>
      <c r="E28" s="6">
        <v>1.1407</v>
      </c>
      <c r="F28" s="6">
        <v>0.86250000000000004</v>
      </c>
      <c r="G28" s="5">
        <v>0.91</v>
      </c>
      <c r="H28" s="5">
        <v>0.26</v>
      </c>
      <c r="I28" s="3"/>
      <c r="K28" s="5" t="s">
        <v>408</v>
      </c>
      <c r="L28" s="5" t="s">
        <v>35</v>
      </c>
      <c r="M28" s="6">
        <v>2.8686175349999998</v>
      </c>
      <c r="O28" s="7">
        <f t="shared" si="0"/>
        <v>0.51123859608580136</v>
      </c>
      <c r="P28" s="11" t="str">
        <f t="shared" si="1"/>
        <v>No</v>
      </c>
    </row>
    <row r="29" spans="1:16" x14ac:dyDescent="0.2">
      <c r="A29" s="4" t="s">
        <v>36</v>
      </c>
      <c r="B29" s="6">
        <v>1.3178000000000001</v>
      </c>
      <c r="C29" s="6">
        <v>0.74199999999999999</v>
      </c>
      <c r="D29" s="6">
        <v>1.1225000000000001</v>
      </c>
      <c r="E29" s="6">
        <v>0.93679999999999997</v>
      </c>
      <c r="F29" s="6">
        <v>0.98450000000000004</v>
      </c>
      <c r="G29" s="5">
        <v>1.02</v>
      </c>
      <c r="H29" s="5">
        <v>0.19</v>
      </c>
      <c r="I29" s="3"/>
      <c r="K29" s="5" t="s">
        <v>409</v>
      </c>
      <c r="L29" s="5" t="s">
        <v>36</v>
      </c>
      <c r="M29" s="6">
        <v>2.8476543429999999</v>
      </c>
      <c r="O29" s="7">
        <f t="shared" si="0"/>
        <v>0.83981973412271071</v>
      </c>
      <c r="P29" s="11" t="str">
        <f t="shared" si="1"/>
        <v>No</v>
      </c>
    </row>
    <row r="30" spans="1:16" x14ac:dyDescent="0.2">
      <c r="A30" s="4" t="s">
        <v>37</v>
      </c>
      <c r="B30" s="6">
        <v>1.0122</v>
      </c>
      <c r="C30" s="6">
        <v>0.7087</v>
      </c>
      <c r="D30" s="6">
        <v>1.2975000000000001</v>
      </c>
      <c r="E30" s="6">
        <v>0.91969999999999996</v>
      </c>
      <c r="F30" s="6">
        <v>1.1261000000000001</v>
      </c>
      <c r="G30" s="5">
        <v>1.01</v>
      </c>
      <c r="H30" s="5">
        <v>0.2</v>
      </c>
      <c r="I30" s="3"/>
      <c r="K30" s="5" t="s">
        <v>410</v>
      </c>
      <c r="L30" s="5" t="s">
        <v>37</v>
      </c>
      <c r="M30" s="6">
        <v>2.8080415730000001</v>
      </c>
      <c r="O30" s="7">
        <f t="shared" si="0"/>
        <v>0.90282409072225456</v>
      </c>
      <c r="P30" s="11" t="str">
        <f t="shared" si="1"/>
        <v>No</v>
      </c>
    </row>
    <row r="31" spans="1:16" x14ac:dyDescent="0.2">
      <c r="A31" s="4" t="s">
        <v>38</v>
      </c>
      <c r="B31" s="6">
        <v>1.0852999999999999</v>
      </c>
      <c r="C31" s="6">
        <v>0.7127</v>
      </c>
      <c r="D31" s="6">
        <v>0.9254</v>
      </c>
      <c r="E31" s="6">
        <v>0.97170000000000001</v>
      </c>
      <c r="F31" s="6">
        <v>0.82030000000000003</v>
      </c>
      <c r="G31" s="5">
        <v>0.9</v>
      </c>
      <c r="H31" s="5">
        <v>0.13</v>
      </c>
      <c r="I31" s="3"/>
      <c r="K31" s="5" t="s">
        <v>411</v>
      </c>
      <c r="L31" s="5" t="s">
        <v>38</v>
      </c>
      <c r="M31" s="6">
        <v>2.6418209080000001</v>
      </c>
      <c r="O31" s="7">
        <f t="shared" si="0"/>
        <v>0.20357649869959171</v>
      </c>
      <c r="P31" s="11" t="str">
        <f t="shared" si="1"/>
        <v>No</v>
      </c>
    </row>
    <row r="32" spans="1:16" x14ac:dyDescent="0.2">
      <c r="A32" s="4" t="s">
        <v>39</v>
      </c>
      <c r="B32" s="6">
        <v>0.96950000000000003</v>
      </c>
      <c r="C32" s="6">
        <v>0.64190000000000003</v>
      </c>
      <c r="D32" s="6">
        <v>1.1177999999999999</v>
      </c>
      <c r="E32" s="6">
        <v>0.68759999999999999</v>
      </c>
      <c r="F32" s="6">
        <v>0.82809999999999995</v>
      </c>
      <c r="G32" s="5">
        <v>0.85</v>
      </c>
      <c r="H32" s="5">
        <v>0.18</v>
      </c>
      <c r="I32" s="3"/>
      <c r="K32" s="5" t="s">
        <v>412</v>
      </c>
      <c r="L32" s="5" t="s">
        <v>39</v>
      </c>
      <c r="M32" s="6">
        <v>2.6228928570000001</v>
      </c>
      <c r="O32" s="7">
        <f t="shared" si="0"/>
        <v>0.16260472152981809</v>
      </c>
      <c r="P32" s="11" t="str">
        <f t="shared" si="1"/>
        <v>No</v>
      </c>
    </row>
    <row r="33" spans="1:16" x14ac:dyDescent="0.2">
      <c r="A33" s="4" t="s">
        <v>40</v>
      </c>
      <c r="B33" s="6">
        <v>1.0301</v>
      </c>
      <c r="C33" s="6">
        <v>0.54349999999999998</v>
      </c>
      <c r="D33" s="6">
        <v>0.63859999999999995</v>
      </c>
      <c r="E33" s="6">
        <v>1.1028</v>
      </c>
      <c r="F33" s="6">
        <v>0.70789999999999997</v>
      </c>
      <c r="G33" s="5">
        <v>0.8</v>
      </c>
      <c r="H33" s="5">
        <v>0.22</v>
      </c>
      <c r="I33" s="3"/>
      <c r="K33" s="5" t="s">
        <v>413</v>
      </c>
      <c r="L33" s="5" t="s">
        <v>40</v>
      </c>
      <c r="M33" s="6">
        <v>2.6022763250000001</v>
      </c>
      <c r="O33" s="7">
        <f t="shared" si="0"/>
        <v>0.15211891459255261</v>
      </c>
      <c r="P33" s="11" t="str">
        <f t="shared" si="1"/>
        <v>No</v>
      </c>
    </row>
    <row r="34" spans="1:16" x14ac:dyDescent="0.2">
      <c r="A34" s="4" t="s">
        <v>41</v>
      </c>
      <c r="B34" s="6">
        <v>0.83150000000000002</v>
      </c>
      <c r="C34" s="6">
        <v>0.5827</v>
      </c>
      <c r="D34" s="6">
        <v>0.74880000000000002</v>
      </c>
      <c r="E34" s="6">
        <v>0.55500000000000005</v>
      </c>
      <c r="F34" s="6">
        <v>0.68269999999999997</v>
      </c>
      <c r="G34" s="5">
        <v>0.68</v>
      </c>
      <c r="H34" s="5">
        <v>0.1</v>
      </c>
      <c r="I34" s="3"/>
      <c r="K34" s="5" t="s">
        <v>414</v>
      </c>
      <c r="L34" s="5" t="s">
        <v>41</v>
      </c>
      <c r="M34" s="6">
        <v>2.5902364250000001</v>
      </c>
      <c r="O34" s="7">
        <f t="shared" si="0"/>
        <v>3.3888155463863115E-3</v>
      </c>
      <c r="P34" s="11" t="str">
        <f t="shared" si="1"/>
        <v>Yes</v>
      </c>
    </row>
    <row r="35" spans="1:16" x14ac:dyDescent="0.2">
      <c r="A35" s="4" t="s">
        <v>42</v>
      </c>
      <c r="B35" s="6">
        <v>0.72119999999999995</v>
      </c>
      <c r="C35" s="6">
        <v>0.53049999999999997</v>
      </c>
      <c r="D35" s="6">
        <v>0.58950000000000002</v>
      </c>
      <c r="E35" s="6">
        <v>0.42270000000000002</v>
      </c>
      <c r="F35" s="6">
        <v>0.63400000000000001</v>
      </c>
      <c r="G35" s="5">
        <v>0.57999999999999996</v>
      </c>
      <c r="H35" s="5">
        <v>0.1</v>
      </c>
      <c r="I35" s="3"/>
      <c r="K35" s="5" t="s">
        <v>415</v>
      </c>
      <c r="L35" s="5" t="s">
        <v>42</v>
      </c>
      <c r="M35" s="6">
        <v>2.5536341669999998</v>
      </c>
      <c r="O35" s="7">
        <f t="shared" si="0"/>
        <v>1.1007198771932083E-3</v>
      </c>
      <c r="P35" s="11" t="str">
        <f t="shared" si="1"/>
        <v>Yes</v>
      </c>
    </row>
    <row r="36" spans="1:16" x14ac:dyDescent="0.2">
      <c r="A36" s="4" t="s">
        <v>43</v>
      </c>
      <c r="B36" s="6">
        <v>0.88270000000000004</v>
      </c>
      <c r="C36" s="6">
        <v>0.63880000000000003</v>
      </c>
      <c r="D36" s="6">
        <v>1.179</v>
      </c>
      <c r="E36" s="6">
        <v>0.77080000000000004</v>
      </c>
      <c r="F36" s="6">
        <v>0.68340000000000001</v>
      </c>
      <c r="G36" s="5">
        <v>0.83</v>
      </c>
      <c r="H36" s="5">
        <v>0.19</v>
      </c>
      <c r="I36" s="3"/>
      <c r="K36" s="5" t="s">
        <v>416</v>
      </c>
      <c r="L36" s="5" t="s">
        <v>43</v>
      </c>
      <c r="M36" s="6">
        <v>2.518723488</v>
      </c>
      <c r="O36" s="7">
        <f t="shared" si="0"/>
        <v>0.15456969565754552</v>
      </c>
      <c r="P36" s="11" t="str">
        <f t="shared" si="1"/>
        <v>No</v>
      </c>
    </row>
    <row r="37" spans="1:16" x14ac:dyDescent="0.2">
      <c r="A37" s="4" t="s">
        <v>44</v>
      </c>
      <c r="B37" s="6">
        <v>0.74099999999999999</v>
      </c>
      <c r="C37" s="6">
        <v>0.66449999999999998</v>
      </c>
      <c r="D37" s="6">
        <v>1.1144000000000001</v>
      </c>
      <c r="E37" s="6">
        <v>0.84130000000000005</v>
      </c>
      <c r="F37" s="6">
        <v>0.66849999999999998</v>
      </c>
      <c r="G37" s="5">
        <v>0.81</v>
      </c>
      <c r="H37" s="5">
        <v>0.17</v>
      </c>
      <c r="I37" s="3"/>
      <c r="K37" s="5" t="s">
        <v>417</v>
      </c>
      <c r="L37" s="5" t="s">
        <v>44</v>
      </c>
      <c r="M37" s="6">
        <v>2.502664089</v>
      </c>
      <c r="O37" s="7">
        <f t="shared" si="0"/>
        <v>8.0823238968304442E-2</v>
      </c>
      <c r="P37" s="11" t="str">
        <f t="shared" si="1"/>
        <v>No</v>
      </c>
    </row>
    <row r="38" spans="1:16" x14ac:dyDescent="0.2">
      <c r="A38" s="4" t="s">
        <v>45</v>
      </c>
      <c r="B38" s="6">
        <v>0.88060000000000005</v>
      </c>
      <c r="C38" s="6">
        <v>0.62590000000000001</v>
      </c>
      <c r="D38" s="6">
        <v>2.3134999999999999</v>
      </c>
      <c r="E38" s="6">
        <v>0.83799999999999997</v>
      </c>
      <c r="F38" s="6">
        <v>0.90900000000000003</v>
      </c>
      <c r="G38" s="5">
        <v>1.1100000000000001</v>
      </c>
      <c r="H38" s="5">
        <v>0.61</v>
      </c>
      <c r="I38" s="3"/>
      <c r="K38" s="5" t="s">
        <v>418</v>
      </c>
      <c r="L38" s="5" t="s">
        <v>45</v>
      </c>
      <c r="M38" s="6">
        <v>2.4277517799999999</v>
      </c>
      <c r="O38" s="7">
        <f t="shared" si="0"/>
        <v>0.72815198156301109</v>
      </c>
      <c r="P38" s="11" t="str">
        <f t="shared" si="1"/>
        <v>No</v>
      </c>
    </row>
    <row r="39" spans="1:16" x14ac:dyDescent="0.2">
      <c r="A39" s="4" t="s">
        <v>46</v>
      </c>
      <c r="B39" s="6">
        <v>1.4</v>
      </c>
      <c r="C39" s="6">
        <v>0.43109999999999998</v>
      </c>
      <c r="D39" s="6">
        <v>0.53979999999999995</v>
      </c>
      <c r="E39" s="6">
        <v>1.3604000000000001</v>
      </c>
      <c r="F39" s="6">
        <v>1.0673999999999999</v>
      </c>
      <c r="G39" s="5">
        <v>0.96</v>
      </c>
      <c r="H39" s="5">
        <v>0.41</v>
      </c>
      <c r="I39" s="3"/>
      <c r="K39" s="5" t="s">
        <v>419</v>
      </c>
      <c r="L39" s="5" t="s">
        <v>46</v>
      </c>
      <c r="M39" s="6">
        <v>2.381045818</v>
      </c>
      <c r="O39" s="7">
        <f t="shared" si="0"/>
        <v>0.85224881067113145</v>
      </c>
      <c r="P39" s="11" t="str">
        <f t="shared" si="1"/>
        <v>No</v>
      </c>
    </row>
    <row r="40" spans="1:16" x14ac:dyDescent="0.2">
      <c r="A40" s="4" t="s">
        <v>47</v>
      </c>
      <c r="B40" s="6">
        <v>1.4083000000000001</v>
      </c>
      <c r="C40" s="6">
        <v>0.88009999999999999</v>
      </c>
      <c r="D40" s="6">
        <v>1.0390999999999999</v>
      </c>
      <c r="E40" s="6">
        <v>0.95099999999999996</v>
      </c>
      <c r="F40" s="6">
        <v>1.1080000000000001</v>
      </c>
      <c r="G40" s="5">
        <v>1.08</v>
      </c>
      <c r="H40" s="5">
        <v>0.18</v>
      </c>
      <c r="I40" s="3"/>
      <c r="K40" s="5" t="s">
        <v>420</v>
      </c>
      <c r="L40" s="5" t="s">
        <v>47</v>
      </c>
      <c r="M40" s="6">
        <v>2.3628115649999999</v>
      </c>
      <c r="O40" s="7">
        <f t="shared" si="0"/>
        <v>0.44497784536272</v>
      </c>
      <c r="P40" s="11" t="str">
        <f t="shared" si="1"/>
        <v>No</v>
      </c>
    </row>
    <row r="41" spans="1:16" x14ac:dyDescent="0.2">
      <c r="A41" s="4" t="s">
        <v>48</v>
      </c>
      <c r="B41" s="6">
        <v>0.44090000000000001</v>
      </c>
      <c r="C41" s="6">
        <v>0.27200000000000002</v>
      </c>
      <c r="D41" s="6">
        <v>0.15670000000000001</v>
      </c>
      <c r="E41" s="6">
        <v>0.40529999999999999</v>
      </c>
      <c r="F41" s="6">
        <v>0.44059999999999999</v>
      </c>
      <c r="G41" s="5">
        <v>0.34</v>
      </c>
      <c r="H41" s="5">
        <v>0.11</v>
      </c>
      <c r="I41" s="3"/>
      <c r="K41" s="5" t="s">
        <v>421</v>
      </c>
      <c r="L41" s="5" t="s">
        <v>48</v>
      </c>
      <c r="M41" s="6">
        <v>2.3146815300000001</v>
      </c>
      <c r="O41" s="7">
        <f t="shared" si="0"/>
        <v>3.0229049437654522E-4</v>
      </c>
      <c r="P41" s="11" t="str">
        <f t="shared" si="1"/>
        <v>Yes</v>
      </c>
    </row>
    <row r="42" spans="1:16" x14ac:dyDescent="0.2">
      <c r="A42" s="4" t="s">
        <v>49</v>
      </c>
      <c r="B42" s="6">
        <v>1.0936999999999999</v>
      </c>
      <c r="C42" s="6">
        <v>0.83509999999999995</v>
      </c>
      <c r="D42" s="6">
        <v>0.97499999999999998</v>
      </c>
      <c r="E42" s="6">
        <v>1.0503</v>
      </c>
      <c r="F42" s="6">
        <v>0.86950000000000005</v>
      </c>
      <c r="G42" s="5">
        <v>0.96</v>
      </c>
      <c r="H42" s="5">
        <v>0.1</v>
      </c>
      <c r="I42" s="3"/>
      <c r="K42" s="5" t="s">
        <v>422</v>
      </c>
      <c r="L42" s="5" t="s">
        <v>49</v>
      </c>
      <c r="M42" s="6">
        <v>2.2649717329999999</v>
      </c>
      <c r="O42" s="7">
        <f t="shared" si="0"/>
        <v>0.51909876276585598</v>
      </c>
      <c r="P42" s="11" t="str">
        <f t="shared" si="1"/>
        <v>No</v>
      </c>
    </row>
    <row r="43" spans="1:16" x14ac:dyDescent="0.2">
      <c r="A43" s="4" t="s">
        <v>50</v>
      </c>
      <c r="B43" s="6">
        <v>0.88770000000000004</v>
      </c>
      <c r="C43" s="6">
        <v>0.66830000000000001</v>
      </c>
      <c r="D43" s="6">
        <v>1.0046999999999999</v>
      </c>
      <c r="E43" s="6">
        <v>0.81040000000000001</v>
      </c>
      <c r="F43" s="6">
        <v>0.9294</v>
      </c>
      <c r="G43" s="5">
        <v>0.86</v>
      </c>
      <c r="H43" s="5">
        <v>0.11</v>
      </c>
      <c r="I43" s="3"/>
      <c r="K43" s="5" t="s">
        <v>423</v>
      </c>
      <c r="L43" s="5" t="s">
        <v>50</v>
      </c>
      <c r="M43" s="6">
        <v>2.2635943890000001</v>
      </c>
      <c r="O43" s="7">
        <f t="shared" si="0"/>
        <v>7.1183133788716713E-2</v>
      </c>
      <c r="P43" s="11" t="str">
        <f t="shared" si="1"/>
        <v>No</v>
      </c>
    </row>
    <row r="44" spans="1:16" x14ac:dyDescent="0.2">
      <c r="A44" s="4" t="s">
        <v>51</v>
      </c>
      <c r="B44" s="6">
        <v>0.71250000000000002</v>
      </c>
      <c r="C44" s="6">
        <v>0.55179999999999996</v>
      </c>
      <c r="D44" s="6">
        <v>1.0679000000000001</v>
      </c>
      <c r="E44" s="6">
        <v>0.64570000000000005</v>
      </c>
      <c r="F44" s="6">
        <v>0.79779999999999995</v>
      </c>
      <c r="G44" s="5">
        <v>0.76</v>
      </c>
      <c r="H44" s="5">
        <v>0.18</v>
      </c>
      <c r="I44" s="3"/>
      <c r="K44" s="5" t="s">
        <v>424</v>
      </c>
      <c r="L44" s="5" t="s">
        <v>51</v>
      </c>
      <c r="M44" s="6">
        <v>2.2385931019999998</v>
      </c>
      <c r="O44" s="7">
        <f t="shared" si="0"/>
        <v>4.9646220713679932E-2</v>
      </c>
      <c r="P44" s="11" t="str">
        <f t="shared" si="1"/>
        <v>Yes</v>
      </c>
    </row>
    <row r="45" spans="1:16" x14ac:dyDescent="0.2">
      <c r="A45" s="4" t="s">
        <v>52</v>
      </c>
      <c r="B45" s="6">
        <v>0.4461</v>
      </c>
      <c r="C45" s="6">
        <v>0.29520000000000002</v>
      </c>
      <c r="D45" s="6">
        <v>0.29870000000000002</v>
      </c>
      <c r="E45" s="6">
        <v>0.46500000000000002</v>
      </c>
      <c r="F45" s="6">
        <v>0.42570000000000002</v>
      </c>
      <c r="G45" s="5">
        <v>0.39</v>
      </c>
      <c r="H45" s="5">
        <v>7.0000000000000007E-2</v>
      </c>
      <c r="I45" s="3"/>
      <c r="K45" s="5" t="s">
        <v>425</v>
      </c>
      <c r="L45" s="5" t="s">
        <v>52</v>
      </c>
      <c r="M45" s="6">
        <v>2.2334880830000001</v>
      </c>
      <c r="O45" s="7">
        <f t="shared" si="0"/>
        <v>7.6835892846208932E-5</v>
      </c>
      <c r="P45" s="11" t="str">
        <f t="shared" si="1"/>
        <v>Yes</v>
      </c>
    </row>
    <row r="46" spans="1:16" x14ac:dyDescent="0.2">
      <c r="A46" s="4" t="s">
        <v>53</v>
      </c>
      <c r="B46" s="6">
        <v>0.79859999999999998</v>
      </c>
      <c r="C46" s="6">
        <v>0.58240000000000003</v>
      </c>
      <c r="D46" s="6">
        <v>1.1828000000000001</v>
      </c>
      <c r="E46" s="6">
        <v>0.68920000000000003</v>
      </c>
      <c r="F46" s="6">
        <v>0.45579999999999998</v>
      </c>
      <c r="G46" s="5">
        <v>0.74</v>
      </c>
      <c r="H46" s="5">
        <v>0.25</v>
      </c>
      <c r="I46" s="3"/>
      <c r="K46" s="5" t="s">
        <v>426</v>
      </c>
      <c r="L46" s="5" t="s">
        <v>53</v>
      </c>
      <c r="M46" s="6">
        <v>2.2191329</v>
      </c>
      <c r="O46" s="7">
        <f t="shared" si="0"/>
        <v>0.10577796164116357</v>
      </c>
      <c r="P46" s="11" t="str">
        <f t="shared" si="1"/>
        <v>No</v>
      </c>
    </row>
    <row r="47" spans="1:16" x14ac:dyDescent="0.2">
      <c r="A47" s="4" t="s">
        <v>54</v>
      </c>
      <c r="B47" s="6">
        <v>0.84350000000000003</v>
      </c>
      <c r="C47" s="6">
        <v>0.62529999999999997</v>
      </c>
      <c r="D47" s="6">
        <v>1.0621</v>
      </c>
      <c r="E47" s="6">
        <v>0.70640000000000003</v>
      </c>
      <c r="F47" s="6">
        <v>0.92849999999999999</v>
      </c>
      <c r="G47" s="5">
        <v>0.83</v>
      </c>
      <c r="H47" s="5">
        <v>0.16</v>
      </c>
      <c r="I47" s="3"/>
      <c r="K47" s="5" t="s">
        <v>427</v>
      </c>
      <c r="L47" s="5" t="s">
        <v>54</v>
      </c>
      <c r="M47" s="6">
        <v>2.2187886240000001</v>
      </c>
      <c r="O47" s="7">
        <f t="shared" si="0"/>
        <v>9.8421891722116669E-2</v>
      </c>
      <c r="P47" s="11" t="str">
        <f t="shared" si="1"/>
        <v>No</v>
      </c>
    </row>
    <row r="48" spans="1:16" x14ac:dyDescent="0.2">
      <c r="A48" s="4" t="s">
        <v>55</v>
      </c>
      <c r="B48" s="6">
        <v>0.75870000000000004</v>
      </c>
      <c r="C48" s="6">
        <v>0.50309999999999999</v>
      </c>
      <c r="D48" s="6">
        <v>1.0788</v>
      </c>
      <c r="E48" s="6">
        <v>0.79930000000000001</v>
      </c>
      <c r="F48" s="6">
        <v>0.80559999999999998</v>
      </c>
      <c r="G48" s="5">
        <v>0.79</v>
      </c>
      <c r="H48" s="5">
        <v>0.18</v>
      </c>
      <c r="I48" s="3"/>
      <c r="K48" s="5" t="s">
        <v>428</v>
      </c>
      <c r="L48" s="5" t="s">
        <v>55</v>
      </c>
      <c r="M48" s="6">
        <v>2.20428896</v>
      </c>
      <c r="O48" s="7">
        <f t="shared" si="0"/>
        <v>8.2227994142560032E-2</v>
      </c>
      <c r="P48" s="11" t="str">
        <f t="shared" si="1"/>
        <v>No</v>
      </c>
    </row>
    <row r="49" spans="1:16" x14ac:dyDescent="0.2">
      <c r="A49" s="4" t="s">
        <v>56</v>
      </c>
      <c r="B49" s="6">
        <v>0.97689999999999999</v>
      </c>
      <c r="C49" s="6">
        <v>0.56620000000000004</v>
      </c>
      <c r="D49" s="6">
        <v>0.90339999999999998</v>
      </c>
      <c r="E49" s="6">
        <v>1.071</v>
      </c>
      <c r="F49" s="6">
        <v>0.87749999999999995</v>
      </c>
      <c r="G49" s="5">
        <v>0.88</v>
      </c>
      <c r="H49" s="5">
        <v>0.17</v>
      </c>
      <c r="I49" s="3"/>
      <c r="K49" s="5" t="s">
        <v>429</v>
      </c>
      <c r="L49" s="5" t="s">
        <v>56</v>
      </c>
      <c r="M49" s="6">
        <v>2.1987800599999998</v>
      </c>
      <c r="O49" s="7">
        <f t="shared" si="0"/>
        <v>0.22819454241658144</v>
      </c>
      <c r="P49" s="11" t="str">
        <f t="shared" si="1"/>
        <v>No</v>
      </c>
    </row>
    <row r="50" spans="1:16" x14ac:dyDescent="0.2">
      <c r="A50" s="4" t="s">
        <v>57</v>
      </c>
      <c r="B50" s="6">
        <v>0.4</v>
      </c>
      <c r="C50" s="6">
        <v>0.25669999999999998</v>
      </c>
      <c r="D50" s="6">
        <v>0.47889999999999999</v>
      </c>
      <c r="E50" s="6">
        <v>0.39179999999999998</v>
      </c>
      <c r="F50" s="6">
        <v>0.1535</v>
      </c>
      <c r="G50" s="5">
        <v>0.34</v>
      </c>
      <c r="H50" s="5">
        <v>0.12</v>
      </c>
      <c r="I50" s="3"/>
      <c r="K50" s="5" t="s">
        <v>430</v>
      </c>
      <c r="L50" s="5" t="s">
        <v>57</v>
      </c>
      <c r="M50" s="6">
        <v>2.1929821970000001</v>
      </c>
      <c r="O50" s="7">
        <f t="shared" si="0"/>
        <v>3.3203101462406671E-4</v>
      </c>
      <c r="P50" s="11" t="str">
        <f t="shared" si="1"/>
        <v>Yes</v>
      </c>
    </row>
    <row r="51" spans="1:16" x14ac:dyDescent="0.2">
      <c r="A51" s="4" t="s">
        <v>58</v>
      </c>
      <c r="B51" s="6">
        <v>0.28199999999999997</v>
      </c>
      <c r="C51" s="6">
        <v>0.17019999999999999</v>
      </c>
      <c r="D51" s="6">
        <v>0.25729999999999997</v>
      </c>
      <c r="E51" s="6">
        <v>0.21199999999999999</v>
      </c>
      <c r="F51" s="6">
        <v>0.27960000000000002</v>
      </c>
      <c r="G51" s="5">
        <v>0.24</v>
      </c>
      <c r="H51" s="5">
        <v>0.04</v>
      </c>
      <c r="I51" s="3"/>
      <c r="K51" s="5" t="s">
        <v>431</v>
      </c>
      <c r="L51" s="5" t="s">
        <v>58</v>
      </c>
      <c r="M51" s="6">
        <v>2.1584091189999999</v>
      </c>
      <c r="O51" s="7">
        <f t="shared" si="0"/>
        <v>3.8617883912723337E-6</v>
      </c>
      <c r="P51" s="11" t="str">
        <f t="shared" si="1"/>
        <v>Yes</v>
      </c>
    </row>
    <row r="52" spans="1:16" x14ac:dyDescent="0.2">
      <c r="A52" s="4" t="s">
        <v>59</v>
      </c>
      <c r="B52" s="6">
        <v>0.89990000000000003</v>
      </c>
      <c r="C52" s="6">
        <v>-0.1159</v>
      </c>
      <c r="D52" s="6">
        <v>0.87509999999999999</v>
      </c>
      <c r="E52" s="6">
        <v>1.6429</v>
      </c>
      <c r="F52" s="6">
        <v>0.94669999999999999</v>
      </c>
      <c r="G52" s="5">
        <v>0</v>
      </c>
      <c r="H52" s="5">
        <v>0</v>
      </c>
      <c r="I52" s="3"/>
      <c r="K52" s="5" t="s">
        <v>432</v>
      </c>
      <c r="L52" s="5" t="s">
        <v>59</v>
      </c>
      <c r="M52" s="6">
        <v>2.1579060550000002</v>
      </c>
      <c r="O52" s="7">
        <f t="shared" si="0"/>
        <v>0.62062968304489863</v>
      </c>
      <c r="P52" s="11" t="str">
        <f t="shared" si="1"/>
        <v>No</v>
      </c>
    </row>
    <row r="53" spans="1:16" x14ac:dyDescent="0.2">
      <c r="A53" s="4" t="s">
        <v>60</v>
      </c>
      <c r="B53" s="6">
        <v>0.74780000000000002</v>
      </c>
      <c r="C53" s="6">
        <v>0.5242</v>
      </c>
      <c r="D53" s="6">
        <v>1.1382000000000001</v>
      </c>
      <c r="E53" s="6">
        <v>0.83160000000000001</v>
      </c>
      <c r="F53" s="6">
        <v>1.3825000000000001</v>
      </c>
      <c r="G53" s="5">
        <v>0.92</v>
      </c>
      <c r="H53" s="5">
        <v>0.3</v>
      </c>
      <c r="I53" s="3"/>
      <c r="K53" s="5" t="s">
        <v>433</v>
      </c>
      <c r="L53" s="5" t="s">
        <v>60</v>
      </c>
      <c r="M53" s="6">
        <v>2.1034646029999999</v>
      </c>
      <c r="O53" s="7">
        <f t="shared" si="0"/>
        <v>0.64469301000448564</v>
      </c>
      <c r="P53" s="11" t="str">
        <f t="shared" si="1"/>
        <v>No</v>
      </c>
    </row>
    <row r="54" spans="1:16" x14ac:dyDescent="0.2">
      <c r="A54" s="4" t="s">
        <v>61</v>
      </c>
      <c r="B54" s="6">
        <v>1.1008</v>
      </c>
      <c r="C54" s="6">
        <v>0.66920000000000002</v>
      </c>
      <c r="D54" s="6">
        <v>1.0545</v>
      </c>
      <c r="E54" s="6">
        <v>0.93700000000000006</v>
      </c>
      <c r="F54" s="6">
        <v>1.0349999999999999</v>
      </c>
      <c r="G54" s="5">
        <v>0.96</v>
      </c>
      <c r="H54" s="5">
        <v>0.15</v>
      </c>
      <c r="I54" s="3"/>
      <c r="K54" s="5" t="s">
        <v>434</v>
      </c>
      <c r="L54" s="5" t="s">
        <v>61</v>
      </c>
      <c r="M54" s="6">
        <v>2.084822178</v>
      </c>
      <c r="O54" s="7">
        <f t="shared" si="0"/>
        <v>0.62632331409835196</v>
      </c>
      <c r="P54" s="11" t="str">
        <f t="shared" si="1"/>
        <v>No</v>
      </c>
    </row>
    <row r="55" spans="1:16" x14ac:dyDescent="0.2">
      <c r="A55" s="4" t="s">
        <v>62</v>
      </c>
      <c r="B55" s="6">
        <v>0.63690000000000002</v>
      </c>
      <c r="C55" s="6">
        <v>0.36130000000000001</v>
      </c>
      <c r="D55" s="6">
        <v>0.79710000000000003</v>
      </c>
      <c r="E55" s="6">
        <v>0.65749999999999997</v>
      </c>
      <c r="F55" s="6">
        <v>0.81630000000000003</v>
      </c>
      <c r="G55" s="5">
        <v>0.65</v>
      </c>
      <c r="H55" s="5">
        <v>0.16</v>
      </c>
      <c r="I55" s="3"/>
      <c r="K55" s="5" t="s">
        <v>435</v>
      </c>
      <c r="L55" s="5" t="s">
        <v>62</v>
      </c>
      <c r="M55" s="6">
        <v>2.0552740100000002</v>
      </c>
      <c r="O55" s="7">
        <f t="shared" si="0"/>
        <v>1.3175092072565288E-2</v>
      </c>
      <c r="P55" s="11" t="str">
        <f t="shared" si="1"/>
        <v>Yes</v>
      </c>
    </row>
    <row r="56" spans="1:16" x14ac:dyDescent="0.2">
      <c r="A56" s="4" t="s">
        <v>63</v>
      </c>
      <c r="B56" s="6">
        <v>0.94199999999999995</v>
      </c>
      <c r="C56" s="6">
        <v>0.44429999999999997</v>
      </c>
      <c r="D56" s="6">
        <v>1.3472999999999999</v>
      </c>
      <c r="E56" s="6">
        <v>0.9234</v>
      </c>
      <c r="F56" s="6">
        <v>0.78349999999999997</v>
      </c>
      <c r="G56" s="5">
        <v>0.89</v>
      </c>
      <c r="H56" s="5">
        <v>0.28999999999999998</v>
      </c>
      <c r="I56" s="3"/>
      <c r="K56" s="5" t="s">
        <v>436</v>
      </c>
      <c r="L56" s="5" t="s">
        <v>63</v>
      </c>
      <c r="M56" s="6">
        <v>2.0340037350000002</v>
      </c>
      <c r="O56" s="7">
        <f t="shared" si="0"/>
        <v>0.48450940194594305</v>
      </c>
      <c r="P56" s="11" t="str">
        <f t="shared" si="1"/>
        <v>No</v>
      </c>
    </row>
    <row r="57" spans="1:16" x14ac:dyDescent="0.2">
      <c r="A57" s="4" t="s">
        <v>64</v>
      </c>
      <c r="B57" s="6">
        <v>1.2426999999999999</v>
      </c>
      <c r="C57" s="6">
        <v>0.69750000000000001</v>
      </c>
      <c r="D57" s="6">
        <v>1.6968000000000001</v>
      </c>
      <c r="E57" s="6">
        <v>1.3186</v>
      </c>
      <c r="F57" s="6">
        <v>1.375</v>
      </c>
      <c r="G57" s="5">
        <v>1.27</v>
      </c>
      <c r="H57" s="5">
        <v>0.32</v>
      </c>
      <c r="I57" s="3"/>
      <c r="K57" s="5" t="s">
        <v>437</v>
      </c>
      <c r="L57" s="5" t="s">
        <v>64</v>
      </c>
      <c r="M57" s="6">
        <v>2.016123533</v>
      </c>
      <c r="O57" s="7">
        <f t="shared" si="0"/>
        <v>0.175492474307515</v>
      </c>
      <c r="P57" s="11" t="str">
        <f t="shared" si="1"/>
        <v>No</v>
      </c>
    </row>
    <row r="58" spans="1:16" x14ac:dyDescent="0.2">
      <c r="A58" s="4" t="s">
        <v>65</v>
      </c>
      <c r="B58" s="6">
        <v>0.83489999999999998</v>
      </c>
      <c r="C58" s="6">
        <v>0.38669999999999999</v>
      </c>
      <c r="D58" s="6">
        <v>0.83250000000000002</v>
      </c>
      <c r="E58" s="6">
        <v>0.77890000000000004</v>
      </c>
      <c r="F58" s="6">
        <v>0.65710000000000002</v>
      </c>
      <c r="G58" s="5">
        <v>0.7</v>
      </c>
      <c r="H58" s="5">
        <v>0.17</v>
      </c>
      <c r="I58" s="3"/>
      <c r="K58" s="5" t="s">
        <v>438</v>
      </c>
      <c r="L58" s="5" t="s">
        <v>65</v>
      </c>
      <c r="M58" s="6">
        <v>1.987630486</v>
      </c>
      <c r="O58" s="7">
        <f t="shared" si="0"/>
        <v>2.307716573034246E-2</v>
      </c>
      <c r="P58" s="11" t="str">
        <f t="shared" si="1"/>
        <v>Yes</v>
      </c>
    </row>
    <row r="59" spans="1:16" x14ac:dyDescent="0.2">
      <c r="A59" s="4" t="s">
        <v>66</v>
      </c>
      <c r="B59" s="6">
        <v>2.4344999999999999</v>
      </c>
      <c r="C59" s="6">
        <v>0.3962</v>
      </c>
      <c r="D59" s="6">
        <v>0.64670000000000005</v>
      </c>
      <c r="E59" s="6">
        <v>0.67169999999999996</v>
      </c>
      <c r="F59" s="6">
        <v>0.66279999999999994</v>
      </c>
      <c r="G59" s="5">
        <v>0</v>
      </c>
      <c r="H59" s="5">
        <v>0</v>
      </c>
      <c r="I59" s="3"/>
      <c r="K59" s="5" t="s">
        <v>439</v>
      </c>
      <c r="L59" s="5" t="s">
        <v>66</v>
      </c>
      <c r="M59" s="6">
        <v>1.9450907710000001</v>
      </c>
      <c r="O59" s="7">
        <f t="shared" si="0"/>
        <v>0.92423139786899344</v>
      </c>
      <c r="P59" s="11" t="str">
        <f t="shared" si="1"/>
        <v>No</v>
      </c>
    </row>
    <row r="60" spans="1:16" x14ac:dyDescent="0.2">
      <c r="A60" s="4" t="s">
        <v>67</v>
      </c>
      <c r="B60" s="6">
        <v>0.80059999999999998</v>
      </c>
      <c r="C60" s="6">
        <v>0.4602</v>
      </c>
      <c r="D60" s="6">
        <v>1.0186999999999999</v>
      </c>
      <c r="E60" s="6">
        <v>0.65500000000000003</v>
      </c>
      <c r="F60" s="6">
        <v>0.54190000000000005</v>
      </c>
      <c r="G60" s="5">
        <v>0.7</v>
      </c>
      <c r="H60" s="5">
        <v>0.2</v>
      </c>
      <c r="I60" s="3"/>
      <c r="K60" s="5" t="s">
        <v>440</v>
      </c>
      <c r="L60" s="5" t="s">
        <v>67</v>
      </c>
      <c r="M60" s="6">
        <v>1.9385335450000001</v>
      </c>
      <c r="O60" s="7">
        <f t="shared" si="0"/>
        <v>3.7027826355038942E-2</v>
      </c>
      <c r="P60" s="11" t="str">
        <f t="shared" si="1"/>
        <v>Yes</v>
      </c>
    </row>
    <row r="61" spans="1:16" x14ac:dyDescent="0.2">
      <c r="A61" s="4" t="s">
        <v>68</v>
      </c>
      <c r="B61" s="6">
        <v>0.92220000000000002</v>
      </c>
      <c r="C61" s="6">
        <v>0.68640000000000001</v>
      </c>
      <c r="D61" s="6">
        <v>0.84299999999999997</v>
      </c>
      <c r="E61" s="6">
        <v>0.80869999999999997</v>
      </c>
      <c r="F61" s="6">
        <v>0.85460000000000003</v>
      </c>
      <c r="G61" s="5">
        <v>0.82</v>
      </c>
      <c r="H61" s="5">
        <v>0.08</v>
      </c>
      <c r="I61" s="3"/>
      <c r="K61" s="5" t="s">
        <v>441</v>
      </c>
      <c r="L61" s="5" t="s">
        <v>68</v>
      </c>
      <c r="M61" s="6">
        <v>1.932580113</v>
      </c>
      <c r="O61" s="7">
        <f t="shared" si="0"/>
        <v>1.0316977145536296E-2</v>
      </c>
      <c r="P61" s="11" t="str">
        <f t="shared" si="1"/>
        <v>Yes</v>
      </c>
    </row>
    <row r="62" spans="1:16" x14ac:dyDescent="0.2">
      <c r="A62" s="4" t="s">
        <v>69</v>
      </c>
      <c r="B62" s="6">
        <v>0.87529999999999997</v>
      </c>
      <c r="C62" s="6">
        <v>0.48459999999999998</v>
      </c>
      <c r="D62" s="6">
        <v>0.81259999999999999</v>
      </c>
      <c r="E62" s="6">
        <v>0.78139999999999998</v>
      </c>
      <c r="F62" s="6">
        <v>0.69969999999999999</v>
      </c>
      <c r="G62" s="5">
        <v>0.73</v>
      </c>
      <c r="H62" s="5">
        <v>0.14000000000000001</v>
      </c>
      <c r="I62" s="3"/>
      <c r="K62" s="5" t="s">
        <v>442</v>
      </c>
      <c r="L62" s="5" t="s">
        <v>69</v>
      </c>
      <c r="M62" s="6">
        <v>1.9312014580000001</v>
      </c>
      <c r="O62" s="7">
        <f t="shared" si="0"/>
        <v>1.6448918556836181E-2</v>
      </c>
      <c r="P62" s="11" t="str">
        <f t="shared" si="1"/>
        <v>Yes</v>
      </c>
    </row>
    <row r="63" spans="1:16" x14ac:dyDescent="0.2">
      <c r="A63" s="4" t="s">
        <v>70</v>
      </c>
      <c r="B63" s="6">
        <v>2.5589</v>
      </c>
      <c r="C63" s="6">
        <v>0.70820000000000005</v>
      </c>
      <c r="D63" s="6">
        <v>1.1371</v>
      </c>
      <c r="E63" s="6">
        <v>0.86140000000000005</v>
      </c>
      <c r="F63" s="6">
        <v>1.2093</v>
      </c>
      <c r="G63" s="5">
        <v>1.29</v>
      </c>
      <c r="H63" s="5">
        <v>0.66</v>
      </c>
      <c r="I63" s="3"/>
      <c r="K63" s="5" t="s">
        <v>443</v>
      </c>
      <c r="L63" s="5" t="s">
        <v>70</v>
      </c>
      <c r="M63" s="6">
        <v>1.9035875799999999</v>
      </c>
      <c r="O63" s="7">
        <f t="shared" si="0"/>
        <v>0.42034719188138875</v>
      </c>
      <c r="P63" s="11" t="str">
        <f t="shared" si="1"/>
        <v>No</v>
      </c>
    </row>
    <row r="64" spans="1:16" x14ac:dyDescent="0.2">
      <c r="A64" s="4" t="s">
        <v>71</v>
      </c>
      <c r="B64" s="6">
        <v>1.3058000000000001</v>
      </c>
      <c r="C64" s="6">
        <v>0.66510000000000002</v>
      </c>
      <c r="D64" s="6">
        <v>1.2867</v>
      </c>
      <c r="E64" s="6">
        <v>0.96330000000000005</v>
      </c>
      <c r="F64" s="6">
        <v>0.92620000000000002</v>
      </c>
      <c r="G64" s="5">
        <v>1.03</v>
      </c>
      <c r="H64" s="5">
        <v>0.24</v>
      </c>
      <c r="I64" s="3"/>
      <c r="K64" s="5" t="s">
        <v>444</v>
      </c>
      <c r="L64" s="5" t="s">
        <v>71</v>
      </c>
      <c r="M64" s="6">
        <v>1.891403913</v>
      </c>
      <c r="O64" s="7">
        <f t="shared" si="0"/>
        <v>0.81910540732673431</v>
      </c>
      <c r="P64" s="11" t="str">
        <f t="shared" si="1"/>
        <v>No</v>
      </c>
    </row>
    <row r="65" spans="1:16" x14ac:dyDescent="0.2">
      <c r="A65" s="4" t="s">
        <v>72</v>
      </c>
      <c r="B65" s="6">
        <v>0.95279999999999998</v>
      </c>
      <c r="C65" s="6">
        <v>0.8901</v>
      </c>
      <c r="D65" s="6">
        <v>1.1877</v>
      </c>
      <c r="E65" s="6">
        <v>1.2248000000000001</v>
      </c>
      <c r="F65" s="6">
        <v>1.0025999999999999</v>
      </c>
      <c r="G65" s="5">
        <v>1.05</v>
      </c>
      <c r="H65" s="5">
        <v>0.13</v>
      </c>
      <c r="I65" s="3"/>
      <c r="K65" s="5" t="s">
        <v>445</v>
      </c>
      <c r="L65" s="5" t="s">
        <v>72</v>
      </c>
      <c r="M65" s="6">
        <v>1.8899264339999999</v>
      </c>
      <c r="O65" s="7">
        <f t="shared" si="0"/>
        <v>0.47717352679960745</v>
      </c>
      <c r="P65" s="11" t="str">
        <f t="shared" si="1"/>
        <v>No</v>
      </c>
    </row>
    <row r="66" spans="1:16" x14ac:dyDescent="0.2">
      <c r="A66" s="4" t="s">
        <v>73</v>
      </c>
      <c r="B66" s="6">
        <v>0.96989999999999998</v>
      </c>
      <c r="C66" s="6">
        <v>0.87970000000000004</v>
      </c>
      <c r="D66" s="6">
        <v>1.0544</v>
      </c>
      <c r="E66" s="6">
        <v>0.94179999999999997</v>
      </c>
      <c r="F66" s="6">
        <v>0.71260000000000001</v>
      </c>
      <c r="G66" s="5">
        <v>0.91</v>
      </c>
      <c r="H66" s="5">
        <v>0.11</v>
      </c>
      <c r="I66" s="3"/>
      <c r="K66" s="5" t="s">
        <v>446</v>
      </c>
      <c r="L66" s="5" t="s">
        <v>73</v>
      </c>
      <c r="M66" s="6">
        <v>1.8897526259999999</v>
      </c>
      <c r="O66" s="7">
        <f t="shared" si="0"/>
        <v>0.19713715996987918</v>
      </c>
      <c r="P66" s="11" t="str">
        <f t="shared" si="1"/>
        <v>No</v>
      </c>
    </row>
    <row r="67" spans="1:16" x14ac:dyDescent="0.2">
      <c r="A67" s="4" t="s">
        <v>74</v>
      </c>
      <c r="B67" s="6">
        <v>0.83089999999999997</v>
      </c>
      <c r="C67" s="6">
        <v>0.71399999999999997</v>
      </c>
      <c r="D67" s="6">
        <v>0.91059999999999997</v>
      </c>
      <c r="E67" s="6">
        <v>1.0212000000000001</v>
      </c>
      <c r="F67" s="6">
        <v>0.75980000000000003</v>
      </c>
      <c r="G67" s="5">
        <v>0.85</v>
      </c>
      <c r="H67" s="5">
        <v>0.11</v>
      </c>
      <c r="I67" s="3"/>
      <c r="K67" s="5" t="s">
        <v>447</v>
      </c>
      <c r="L67" s="5" t="s">
        <v>74</v>
      </c>
      <c r="M67" s="6">
        <v>1.8657314780000001</v>
      </c>
      <c r="O67" s="7">
        <f t="shared" si="0"/>
        <v>4.9349743986272773E-2</v>
      </c>
      <c r="P67" s="11" t="str">
        <f t="shared" si="1"/>
        <v>Yes</v>
      </c>
    </row>
    <row r="68" spans="1:16" x14ac:dyDescent="0.2">
      <c r="A68" s="4" t="s">
        <v>75</v>
      </c>
      <c r="B68" s="6">
        <v>0.7742</v>
      </c>
      <c r="C68" s="6">
        <v>0.52039999999999997</v>
      </c>
      <c r="D68" s="6">
        <v>0.73419999999999996</v>
      </c>
      <c r="E68" s="6">
        <v>0.81469999999999998</v>
      </c>
      <c r="F68" s="6">
        <v>0.62380000000000002</v>
      </c>
      <c r="G68" s="5">
        <v>0.69</v>
      </c>
      <c r="H68" s="5">
        <v>0.11</v>
      </c>
      <c r="I68" s="3"/>
      <c r="K68" s="5" t="s">
        <v>448</v>
      </c>
      <c r="L68" s="5" t="s">
        <v>75</v>
      </c>
      <c r="M68" s="6">
        <v>1.8536916969999999</v>
      </c>
      <c r="O68" s="7">
        <f t="shared" ref="O68:O93" si="2">_xlfn.T.TEST($B$2:$F$2,B68:F68,2,3)</f>
        <v>4.6577432050856704E-3</v>
      </c>
      <c r="P68" s="11" t="str">
        <f t="shared" ref="P68:P93" si="3">IF(O68&lt;0.05,"Yes","No")</f>
        <v>Yes</v>
      </c>
    </row>
    <row r="69" spans="1:16" x14ac:dyDescent="0.2">
      <c r="A69" s="4" t="s">
        <v>76</v>
      </c>
      <c r="B69" s="6">
        <v>3.1859000000000002</v>
      </c>
      <c r="C69" s="6">
        <v>1.9611000000000001</v>
      </c>
      <c r="D69" s="6">
        <v>2.4449000000000001</v>
      </c>
      <c r="E69" s="6">
        <v>2.1981000000000002</v>
      </c>
      <c r="F69" s="6">
        <v>3.1389999999999998</v>
      </c>
      <c r="G69" s="5">
        <v>2.59</v>
      </c>
      <c r="H69" s="5">
        <v>0.5</v>
      </c>
      <c r="I69" s="3"/>
      <c r="K69" s="5" t="s">
        <v>449</v>
      </c>
      <c r="L69" s="5" t="s">
        <v>76</v>
      </c>
      <c r="M69" s="6">
        <v>1.84730649</v>
      </c>
      <c r="O69" s="7">
        <f t="shared" si="2"/>
        <v>3.054737299354033E-3</v>
      </c>
      <c r="P69" s="11" t="str">
        <f t="shared" si="3"/>
        <v>Yes</v>
      </c>
    </row>
    <row r="70" spans="1:16" x14ac:dyDescent="0.2">
      <c r="A70" s="4" t="s">
        <v>77</v>
      </c>
      <c r="B70" s="6">
        <v>0.8629</v>
      </c>
      <c r="C70" s="6">
        <v>0.40050000000000002</v>
      </c>
      <c r="D70" s="6">
        <v>0.75860000000000005</v>
      </c>
      <c r="E70" s="6">
        <v>0.83240000000000003</v>
      </c>
      <c r="F70" s="6">
        <v>0.87280000000000002</v>
      </c>
      <c r="G70" s="5">
        <v>0.75</v>
      </c>
      <c r="H70" s="5">
        <v>0.18</v>
      </c>
      <c r="I70" s="3"/>
      <c r="K70" s="5" t="s">
        <v>450</v>
      </c>
      <c r="L70" s="5" t="s">
        <v>77</v>
      </c>
      <c r="M70" s="6">
        <v>1.8100292680000001</v>
      </c>
      <c r="O70" s="7">
        <f t="shared" si="2"/>
        <v>4.5215296017994532E-2</v>
      </c>
      <c r="P70" s="11" t="str">
        <f t="shared" si="3"/>
        <v>Yes</v>
      </c>
    </row>
    <row r="71" spans="1:16" x14ac:dyDescent="0.2">
      <c r="A71" s="4" t="s">
        <v>78</v>
      </c>
      <c r="B71" s="6">
        <v>0.85619999999999996</v>
      </c>
      <c r="C71" s="6">
        <v>0.70779999999999998</v>
      </c>
      <c r="D71" s="6">
        <v>0.9597</v>
      </c>
      <c r="E71" s="6">
        <v>0.93720000000000003</v>
      </c>
      <c r="F71" s="6">
        <v>0.79290000000000005</v>
      </c>
      <c r="G71" s="5">
        <v>0.85</v>
      </c>
      <c r="H71" s="5">
        <v>0.09</v>
      </c>
      <c r="I71" s="3"/>
      <c r="K71" s="5" t="s">
        <v>451</v>
      </c>
      <c r="L71" s="5" t="s">
        <v>78</v>
      </c>
      <c r="M71" s="6">
        <v>1.7742078299999999</v>
      </c>
      <c r="O71" s="7">
        <f t="shared" si="2"/>
        <v>3.2501684337411602E-2</v>
      </c>
      <c r="P71" s="11" t="str">
        <f t="shared" si="3"/>
        <v>Yes</v>
      </c>
    </row>
    <row r="72" spans="1:16" x14ac:dyDescent="0.2">
      <c r="A72" s="4" t="s">
        <v>79</v>
      </c>
      <c r="B72" s="6">
        <v>0.72550000000000003</v>
      </c>
      <c r="C72" s="6">
        <v>0.79730000000000001</v>
      </c>
      <c r="D72" s="6">
        <v>1.3447</v>
      </c>
      <c r="E72" s="6">
        <v>0.76149999999999995</v>
      </c>
      <c r="F72" s="6">
        <v>0.94820000000000004</v>
      </c>
      <c r="G72" s="5">
        <v>0.92</v>
      </c>
      <c r="H72" s="5">
        <v>0.23</v>
      </c>
      <c r="I72" s="3"/>
      <c r="K72" s="5" t="s">
        <v>452</v>
      </c>
      <c r="L72" s="5" t="s">
        <v>79</v>
      </c>
      <c r="M72" s="6">
        <v>1.7702252860000001</v>
      </c>
      <c r="O72" s="7">
        <f t="shared" si="2"/>
        <v>0.49876415081613507</v>
      </c>
      <c r="P72" s="11" t="str">
        <f t="shared" si="3"/>
        <v>No</v>
      </c>
    </row>
    <row r="73" spans="1:16" x14ac:dyDescent="0.2">
      <c r="A73" s="4" t="s">
        <v>80</v>
      </c>
      <c r="B73" s="6">
        <v>0.73089999999999999</v>
      </c>
      <c r="C73" s="6">
        <v>1.0046999999999999</v>
      </c>
      <c r="D73" s="6">
        <v>1.2423999999999999</v>
      </c>
      <c r="E73" s="6">
        <v>0.97689999999999999</v>
      </c>
      <c r="F73" s="6">
        <v>0.96530000000000005</v>
      </c>
      <c r="G73" s="5">
        <v>0.98</v>
      </c>
      <c r="H73" s="5">
        <v>0.16</v>
      </c>
      <c r="I73" s="3"/>
      <c r="K73" s="5" t="s">
        <v>453</v>
      </c>
      <c r="L73" s="5" t="s">
        <v>80</v>
      </c>
      <c r="M73" s="6">
        <v>1.7460309270000001</v>
      </c>
      <c r="O73" s="7">
        <f t="shared" si="2"/>
        <v>0.85364599957062293</v>
      </c>
      <c r="P73" s="11" t="str">
        <f t="shared" si="3"/>
        <v>No</v>
      </c>
    </row>
    <row r="74" spans="1:16" x14ac:dyDescent="0.2">
      <c r="A74" s="4" t="s">
        <v>81</v>
      </c>
      <c r="B74" s="6">
        <v>0.66910000000000003</v>
      </c>
      <c r="C74" s="6">
        <v>0.72619999999999996</v>
      </c>
      <c r="D74" s="6">
        <v>0.90359999999999996</v>
      </c>
      <c r="E74" s="6">
        <v>0.66410000000000002</v>
      </c>
      <c r="F74" s="6">
        <v>0.83720000000000006</v>
      </c>
      <c r="G74" s="5">
        <v>0.76</v>
      </c>
      <c r="H74" s="5">
        <v>0.1</v>
      </c>
      <c r="I74" s="3"/>
      <c r="K74" s="5" t="s">
        <v>454</v>
      </c>
      <c r="L74" s="5" t="s">
        <v>81</v>
      </c>
      <c r="M74" s="6">
        <v>1.730583191</v>
      </c>
      <c r="O74" s="7">
        <f t="shared" si="2"/>
        <v>7.2384298927449502E-3</v>
      </c>
      <c r="P74" s="11" t="str">
        <f t="shared" si="3"/>
        <v>Yes</v>
      </c>
    </row>
    <row r="75" spans="1:16" x14ac:dyDescent="0.2">
      <c r="A75" s="4" t="s">
        <v>82</v>
      </c>
      <c r="B75" s="6">
        <v>0.63290000000000002</v>
      </c>
      <c r="C75" s="6">
        <v>0.39660000000000001</v>
      </c>
      <c r="D75" s="6">
        <v>0.47089999999999999</v>
      </c>
      <c r="E75" s="6">
        <v>0.4778</v>
      </c>
      <c r="F75" s="6">
        <v>0.60109999999999997</v>
      </c>
      <c r="G75" s="5">
        <v>0.52</v>
      </c>
      <c r="H75" s="5">
        <v>0.09</v>
      </c>
      <c r="I75" s="3"/>
      <c r="K75" s="5" t="s">
        <v>455</v>
      </c>
      <c r="L75" s="5" t="s">
        <v>82</v>
      </c>
      <c r="M75" s="6">
        <v>1.7283902170000001</v>
      </c>
      <c r="O75" s="7">
        <f t="shared" si="2"/>
        <v>3.8650993568296627E-4</v>
      </c>
      <c r="P75" s="11" t="str">
        <f t="shared" si="3"/>
        <v>Yes</v>
      </c>
    </row>
    <row r="76" spans="1:16" x14ac:dyDescent="0.2">
      <c r="A76" s="4" t="s">
        <v>83</v>
      </c>
      <c r="B76" s="6">
        <v>1.1412</v>
      </c>
      <c r="C76" s="6">
        <v>0.83560000000000001</v>
      </c>
      <c r="D76" s="6">
        <v>1.0564</v>
      </c>
      <c r="E76" s="6">
        <v>0.83220000000000005</v>
      </c>
      <c r="F76" s="6">
        <v>1.5007999999999999</v>
      </c>
      <c r="G76" s="5">
        <v>1.07</v>
      </c>
      <c r="H76" s="5">
        <v>0.25</v>
      </c>
      <c r="I76" s="3"/>
      <c r="K76" s="5" t="s">
        <v>456</v>
      </c>
      <c r="L76" s="5" t="s">
        <v>83</v>
      </c>
      <c r="M76" s="6">
        <v>1.7207975390000001</v>
      </c>
      <c r="O76" s="7">
        <f t="shared" si="2"/>
        <v>0.58342077697087524</v>
      </c>
      <c r="P76" s="11" t="str">
        <f t="shared" si="3"/>
        <v>No</v>
      </c>
    </row>
    <row r="77" spans="1:16" x14ac:dyDescent="0.2">
      <c r="A77" s="4" t="s">
        <v>84</v>
      </c>
      <c r="B77" s="6">
        <v>1.0871999999999999</v>
      </c>
      <c r="C77" s="6">
        <v>0.77939999999999998</v>
      </c>
      <c r="D77" s="6">
        <v>0.92030000000000001</v>
      </c>
      <c r="E77" s="6">
        <v>0.87539999999999996</v>
      </c>
      <c r="F77" s="6">
        <v>0.78549999999999998</v>
      </c>
      <c r="G77" s="5">
        <v>0.89</v>
      </c>
      <c r="H77" s="5">
        <v>0.11</v>
      </c>
      <c r="I77" s="3"/>
      <c r="K77" s="5" t="s">
        <v>457</v>
      </c>
      <c r="L77" s="5" t="s">
        <v>84</v>
      </c>
      <c r="M77" s="6">
        <v>1.7164999249999999</v>
      </c>
      <c r="O77" s="7">
        <f t="shared" si="2"/>
        <v>0.12084682503957019</v>
      </c>
      <c r="P77" s="11" t="str">
        <f t="shared" si="3"/>
        <v>No</v>
      </c>
    </row>
    <row r="78" spans="1:16" x14ac:dyDescent="0.2">
      <c r="A78" s="4" t="s">
        <v>85</v>
      </c>
      <c r="B78" s="6">
        <v>1.3464</v>
      </c>
      <c r="C78" s="6">
        <v>1.1761999999999999</v>
      </c>
      <c r="D78" s="6">
        <v>1.3641000000000001</v>
      </c>
      <c r="E78" s="6">
        <v>1.1283000000000001</v>
      </c>
      <c r="F78" s="6">
        <v>1.2678</v>
      </c>
      <c r="G78" s="5">
        <v>1.26</v>
      </c>
      <c r="H78" s="5">
        <v>0.09</v>
      </c>
      <c r="I78" s="3"/>
      <c r="K78" s="5" t="s">
        <v>458</v>
      </c>
      <c r="L78" s="5" t="s">
        <v>85</v>
      </c>
      <c r="M78" s="6">
        <v>1.708497763</v>
      </c>
      <c r="O78" s="7">
        <f t="shared" si="2"/>
        <v>5.1419685061732806E-3</v>
      </c>
      <c r="P78" s="11" t="str">
        <f t="shared" si="3"/>
        <v>Yes</v>
      </c>
    </row>
    <row r="79" spans="1:16" x14ac:dyDescent="0.2">
      <c r="A79" s="4" t="s">
        <v>86</v>
      </c>
      <c r="B79" s="6">
        <v>0.85</v>
      </c>
      <c r="C79" s="6">
        <v>0.51370000000000005</v>
      </c>
      <c r="D79" s="6">
        <v>0.92479999999999996</v>
      </c>
      <c r="E79" s="6">
        <v>0.98409999999999997</v>
      </c>
      <c r="F79" s="6">
        <v>0.68610000000000004</v>
      </c>
      <c r="G79" s="5">
        <v>0.79</v>
      </c>
      <c r="H79" s="5">
        <v>0.17</v>
      </c>
      <c r="I79" s="3"/>
      <c r="K79" s="5" t="s">
        <v>459</v>
      </c>
      <c r="L79" s="5" t="s">
        <v>86</v>
      </c>
      <c r="M79" s="6">
        <v>1.707858801</v>
      </c>
      <c r="O79" s="7">
        <f t="shared" si="2"/>
        <v>7.176567457622833E-2</v>
      </c>
      <c r="P79" s="11" t="str">
        <f t="shared" si="3"/>
        <v>No</v>
      </c>
    </row>
    <row r="80" spans="1:16" x14ac:dyDescent="0.2">
      <c r="A80" s="4" t="s">
        <v>87</v>
      </c>
      <c r="B80" s="6">
        <v>0.85589999999999999</v>
      </c>
      <c r="C80" s="6">
        <v>0.52039999999999997</v>
      </c>
      <c r="D80" s="6">
        <v>0.85309999999999997</v>
      </c>
      <c r="E80" s="6">
        <v>0.93789999999999996</v>
      </c>
      <c r="F80" s="6">
        <v>0.72809999999999997</v>
      </c>
      <c r="G80" s="5">
        <v>0.78</v>
      </c>
      <c r="H80" s="5">
        <v>0.15</v>
      </c>
      <c r="I80" s="3"/>
      <c r="K80" s="5" t="s">
        <v>460</v>
      </c>
      <c r="L80" s="5" t="s">
        <v>87</v>
      </c>
      <c r="M80" s="6">
        <v>1.5967588420000001</v>
      </c>
      <c r="O80" s="7">
        <f t="shared" si="2"/>
        <v>3.8671274324837905E-2</v>
      </c>
      <c r="P80" s="11" t="str">
        <f t="shared" si="3"/>
        <v>Yes</v>
      </c>
    </row>
    <row r="81" spans="1:19" x14ac:dyDescent="0.2">
      <c r="A81" s="4" t="s">
        <v>88</v>
      </c>
      <c r="B81" s="6">
        <v>0.64539999999999997</v>
      </c>
      <c r="C81" s="6">
        <v>0.65010000000000001</v>
      </c>
      <c r="D81" s="6">
        <v>0.79139999999999999</v>
      </c>
      <c r="E81" s="6">
        <v>0.91080000000000005</v>
      </c>
      <c r="F81" s="6">
        <v>0.76160000000000005</v>
      </c>
      <c r="G81" s="5">
        <v>0.75</v>
      </c>
      <c r="H81" s="5">
        <v>0.1</v>
      </c>
      <c r="I81" s="3"/>
      <c r="K81" s="5" t="s">
        <v>461</v>
      </c>
      <c r="L81" s="5" t="s">
        <v>88</v>
      </c>
      <c r="M81" s="6">
        <v>1.701819301</v>
      </c>
      <c r="O81" s="7">
        <f t="shared" si="2"/>
        <v>7.316444731116499E-3</v>
      </c>
      <c r="P81" s="11" t="str">
        <f t="shared" si="3"/>
        <v>Yes</v>
      </c>
    </row>
    <row r="82" spans="1:19" x14ac:dyDescent="0.2">
      <c r="A82" s="4" t="s">
        <v>89</v>
      </c>
      <c r="B82" s="6">
        <v>0.56740000000000002</v>
      </c>
      <c r="C82" s="6">
        <v>0.99550000000000005</v>
      </c>
      <c r="D82" s="6">
        <v>0.997</v>
      </c>
      <c r="E82" s="6">
        <v>1.0396000000000001</v>
      </c>
      <c r="F82" s="6">
        <v>0.76629999999999998</v>
      </c>
      <c r="G82" s="5">
        <v>0.87</v>
      </c>
      <c r="H82" s="5">
        <v>0.18</v>
      </c>
      <c r="I82" s="3"/>
      <c r="K82" s="5" t="s">
        <v>462</v>
      </c>
      <c r="L82" s="5" t="s">
        <v>89</v>
      </c>
      <c r="M82" s="6">
        <v>1.691328406</v>
      </c>
      <c r="O82" s="7">
        <f t="shared" si="2"/>
        <v>0.23261785013677241</v>
      </c>
      <c r="P82" s="11" t="str">
        <f t="shared" si="3"/>
        <v>No</v>
      </c>
    </row>
    <row r="83" spans="1:19" x14ac:dyDescent="0.2">
      <c r="A83" s="4" t="s">
        <v>90</v>
      </c>
      <c r="B83" s="6">
        <v>0.81459999999999999</v>
      </c>
      <c r="C83" s="6">
        <v>0.59660000000000002</v>
      </c>
      <c r="D83" s="6">
        <v>1.159</v>
      </c>
      <c r="E83" s="6">
        <v>1.0215000000000001</v>
      </c>
      <c r="F83" s="6">
        <v>1.0024</v>
      </c>
      <c r="G83" s="5">
        <v>0.92</v>
      </c>
      <c r="H83" s="5">
        <v>0.19</v>
      </c>
      <c r="I83" s="3"/>
      <c r="K83" s="5" t="s">
        <v>463</v>
      </c>
      <c r="L83" s="5" t="s">
        <v>90</v>
      </c>
      <c r="M83" s="6">
        <v>1.686814547</v>
      </c>
      <c r="O83" s="7">
        <f t="shared" si="2"/>
        <v>0.45164088178776007</v>
      </c>
      <c r="P83" s="11" t="str">
        <f t="shared" si="3"/>
        <v>No</v>
      </c>
    </row>
    <row r="84" spans="1:19" x14ac:dyDescent="0.2">
      <c r="A84" s="4" t="s">
        <v>91</v>
      </c>
      <c r="B84" s="6">
        <v>0.89839999999999998</v>
      </c>
      <c r="C84" s="6">
        <v>0.89559999999999995</v>
      </c>
      <c r="D84" s="6">
        <v>1.0359</v>
      </c>
      <c r="E84" s="6">
        <v>0.86109999999999998</v>
      </c>
      <c r="F84" s="6">
        <v>0.49719999999999998</v>
      </c>
      <c r="G84" s="5">
        <v>0.84</v>
      </c>
      <c r="H84" s="5">
        <v>0.18</v>
      </c>
      <c r="I84" s="3"/>
      <c r="K84" s="5" t="s">
        <v>464</v>
      </c>
      <c r="L84" s="5" t="s">
        <v>91</v>
      </c>
      <c r="M84" s="6">
        <v>1.5877670049999999</v>
      </c>
      <c r="O84" s="7">
        <f t="shared" si="2"/>
        <v>0.14632037812373838</v>
      </c>
      <c r="P84" s="11" t="str">
        <f t="shared" si="3"/>
        <v>No</v>
      </c>
    </row>
    <row r="85" spans="1:19" x14ac:dyDescent="0.2">
      <c r="A85" s="4" t="s">
        <v>92</v>
      </c>
      <c r="B85" s="6">
        <v>0.65790000000000004</v>
      </c>
      <c r="C85" s="6">
        <v>0.73429999999999995</v>
      </c>
      <c r="D85" s="6">
        <v>1.3210999999999999</v>
      </c>
      <c r="E85" s="6">
        <v>0.92659999999999998</v>
      </c>
      <c r="F85" s="6">
        <v>0.67579999999999996</v>
      </c>
      <c r="G85" s="5">
        <v>0.86</v>
      </c>
      <c r="H85" s="5">
        <v>0.25</v>
      </c>
      <c r="I85" s="3"/>
      <c r="K85" s="5" t="s">
        <v>465</v>
      </c>
      <c r="L85" s="5" t="s">
        <v>92</v>
      </c>
      <c r="M85" s="6">
        <v>1.6688191889999999</v>
      </c>
      <c r="O85" s="7">
        <f t="shared" si="2"/>
        <v>0.33168686918896362</v>
      </c>
      <c r="P85" s="11" t="str">
        <f t="shared" si="3"/>
        <v>No</v>
      </c>
    </row>
    <row r="86" spans="1:19" x14ac:dyDescent="0.2">
      <c r="A86" s="4" t="s">
        <v>93</v>
      </c>
      <c r="B86" s="6">
        <v>0.81220000000000003</v>
      </c>
      <c r="C86" s="6">
        <v>0.55679999999999996</v>
      </c>
      <c r="D86" s="6">
        <v>1.2373000000000001</v>
      </c>
      <c r="E86" s="6">
        <v>1.2202999999999999</v>
      </c>
      <c r="F86" s="6">
        <v>0.68369999999999997</v>
      </c>
      <c r="G86" s="5">
        <v>0.9</v>
      </c>
      <c r="H86" s="5">
        <v>0.28000000000000003</v>
      </c>
      <c r="I86" s="3"/>
      <c r="K86" s="5" t="s">
        <v>466</v>
      </c>
      <c r="L86" s="5" t="s">
        <v>93</v>
      </c>
      <c r="M86" s="6">
        <v>1.666246176</v>
      </c>
      <c r="O86" s="7">
        <f t="shared" si="2"/>
        <v>0.52103843494399771</v>
      </c>
      <c r="P86" s="11" t="str">
        <f t="shared" si="3"/>
        <v>No</v>
      </c>
    </row>
    <row r="87" spans="1:19" x14ac:dyDescent="0.2">
      <c r="A87" s="4" t="s">
        <v>94</v>
      </c>
      <c r="B87" s="6">
        <v>1.0907</v>
      </c>
      <c r="C87" s="6">
        <v>0.67930000000000001</v>
      </c>
      <c r="D87" s="6">
        <v>1.0408999999999999</v>
      </c>
      <c r="E87" s="6">
        <v>0.80659999999999998</v>
      </c>
      <c r="F87" s="6">
        <v>0.77110000000000001</v>
      </c>
      <c r="G87" s="5">
        <v>0.88</v>
      </c>
      <c r="H87" s="5">
        <v>0.16</v>
      </c>
      <c r="I87" s="3"/>
      <c r="K87" s="5" t="s">
        <v>467</v>
      </c>
      <c r="L87" s="5" t="s">
        <v>94</v>
      </c>
      <c r="M87" s="6">
        <v>1.6633801459999999</v>
      </c>
      <c r="O87" s="7">
        <f t="shared" si="2"/>
        <v>0.20080885094818535</v>
      </c>
      <c r="P87" s="11" t="str">
        <f t="shared" si="3"/>
        <v>No</v>
      </c>
    </row>
    <row r="88" spans="1:19" x14ac:dyDescent="0.2">
      <c r="A88" s="4" t="s">
        <v>95</v>
      </c>
      <c r="B88" s="6">
        <v>1.5825</v>
      </c>
      <c r="C88" s="6">
        <v>0.75509999999999999</v>
      </c>
      <c r="D88" s="6">
        <v>0.91959999999999997</v>
      </c>
      <c r="E88" s="6">
        <v>0.85060000000000002</v>
      </c>
      <c r="F88" s="6">
        <v>0.71109999999999995</v>
      </c>
      <c r="G88" s="5">
        <v>0.96</v>
      </c>
      <c r="H88" s="5">
        <v>0.32</v>
      </c>
      <c r="I88" s="3"/>
      <c r="K88" s="5" t="s">
        <v>468</v>
      </c>
      <c r="L88" s="5" t="s">
        <v>95</v>
      </c>
      <c r="M88" s="6">
        <v>1.6459212299999999</v>
      </c>
      <c r="O88" s="7">
        <f t="shared" si="2"/>
        <v>0.83086681297245368</v>
      </c>
      <c r="P88" s="11" t="str">
        <f t="shared" si="3"/>
        <v>No</v>
      </c>
    </row>
    <row r="89" spans="1:19" x14ac:dyDescent="0.2">
      <c r="A89" s="4" t="s">
        <v>96</v>
      </c>
      <c r="B89" s="6">
        <v>1.4281999999999999</v>
      </c>
      <c r="C89" s="6">
        <v>1.2536</v>
      </c>
      <c r="D89" s="6">
        <v>1.5538000000000001</v>
      </c>
      <c r="E89" s="6">
        <v>1.0443</v>
      </c>
      <c r="F89" s="6">
        <v>1.1592</v>
      </c>
      <c r="G89" s="5">
        <v>1.29</v>
      </c>
      <c r="H89" s="5">
        <v>0.18</v>
      </c>
      <c r="I89" s="3"/>
      <c r="K89" s="5" t="s">
        <v>469</v>
      </c>
      <c r="L89" s="5" t="s">
        <v>96</v>
      </c>
      <c r="M89" s="6">
        <v>1.6360753770000001</v>
      </c>
      <c r="O89" s="7">
        <f t="shared" si="2"/>
        <v>3.4668472648506955E-2</v>
      </c>
      <c r="P89" s="11" t="str">
        <f t="shared" si="3"/>
        <v>Yes</v>
      </c>
    </row>
    <row r="90" spans="1:19" x14ac:dyDescent="0.2">
      <c r="A90" s="4" t="s">
        <v>97</v>
      </c>
      <c r="B90" s="6">
        <v>0.76139999999999997</v>
      </c>
      <c r="C90" s="6">
        <v>1.1500999999999999</v>
      </c>
      <c r="D90" s="6">
        <v>1.1906000000000001</v>
      </c>
      <c r="E90" s="6">
        <v>0.86429999999999996</v>
      </c>
      <c r="F90" s="6">
        <v>0.85260000000000002</v>
      </c>
      <c r="G90" s="5">
        <v>0.96</v>
      </c>
      <c r="H90" s="5">
        <v>0.17</v>
      </c>
      <c r="I90" s="3"/>
      <c r="K90" s="5" t="s">
        <v>470</v>
      </c>
      <c r="L90" s="5" t="s">
        <v>97</v>
      </c>
      <c r="M90" s="6">
        <v>1.580746889</v>
      </c>
      <c r="O90" s="7">
        <f t="shared" si="2"/>
        <v>0.69682420926432853</v>
      </c>
      <c r="P90" s="11" t="str">
        <f t="shared" si="3"/>
        <v>No</v>
      </c>
    </row>
    <row r="91" spans="1:19" x14ac:dyDescent="0.2">
      <c r="A91" s="4" t="s">
        <v>98</v>
      </c>
      <c r="B91" s="6">
        <v>0.99439999999999995</v>
      </c>
      <c r="C91" s="6">
        <v>1.0222</v>
      </c>
      <c r="D91" s="6">
        <v>1.3028999999999999</v>
      </c>
      <c r="E91" s="6">
        <v>0.7913</v>
      </c>
      <c r="F91" s="6">
        <v>0.87560000000000004</v>
      </c>
      <c r="G91" s="5">
        <v>1</v>
      </c>
      <c r="H91" s="5">
        <v>0.17</v>
      </c>
      <c r="I91" s="3"/>
      <c r="K91" s="5" t="s">
        <v>471</v>
      </c>
      <c r="L91" s="5" t="s">
        <v>98</v>
      </c>
      <c r="M91" s="6">
        <v>1.620820999</v>
      </c>
      <c r="O91" s="7">
        <f t="shared" si="2"/>
        <v>0.97654772091674058</v>
      </c>
      <c r="P91" s="11" t="str">
        <f t="shared" si="3"/>
        <v>No</v>
      </c>
    </row>
    <row r="92" spans="1:19" x14ac:dyDescent="0.2">
      <c r="A92" s="4" t="s">
        <v>99</v>
      </c>
      <c r="B92" s="6">
        <v>1.004</v>
      </c>
      <c r="C92" s="6">
        <v>1.1045</v>
      </c>
      <c r="D92" s="6">
        <v>1.3605</v>
      </c>
      <c r="E92" s="6">
        <v>0.74029999999999996</v>
      </c>
      <c r="F92" s="6">
        <v>1.1119000000000001</v>
      </c>
      <c r="G92" s="5">
        <v>1.06</v>
      </c>
      <c r="H92" s="5">
        <v>0.2</v>
      </c>
      <c r="I92" s="3"/>
      <c r="K92" s="5" t="s">
        <v>472</v>
      </c>
      <c r="L92" s="5" t="s">
        <v>99</v>
      </c>
      <c r="M92" s="6">
        <v>1.614590406</v>
      </c>
      <c r="O92" s="7">
        <f t="shared" si="2"/>
        <v>0.55579700140152444</v>
      </c>
      <c r="P92" s="11" t="str">
        <f t="shared" si="3"/>
        <v>No</v>
      </c>
      <c r="S92" s="1"/>
    </row>
    <row r="93" spans="1:19" x14ac:dyDescent="0.2">
      <c r="A93" s="4" t="s">
        <v>100</v>
      </c>
      <c r="B93" s="6">
        <v>0.84189999999999998</v>
      </c>
      <c r="C93" s="6">
        <v>1.0855999999999999</v>
      </c>
      <c r="D93" s="6">
        <v>1.0569</v>
      </c>
      <c r="E93" s="6">
        <v>0.89849999999999997</v>
      </c>
      <c r="F93" s="6">
        <v>0.78639999999999999</v>
      </c>
      <c r="G93" s="5">
        <v>0.93</v>
      </c>
      <c r="H93" s="5">
        <v>0.12</v>
      </c>
      <c r="I93" s="3"/>
      <c r="K93" s="5" t="s">
        <v>473</v>
      </c>
      <c r="L93" s="5" t="s">
        <v>100</v>
      </c>
      <c r="M93" s="6">
        <v>1.6123766900000001</v>
      </c>
      <c r="O93" s="7">
        <f t="shared" si="2"/>
        <v>0.3250180737081016</v>
      </c>
      <c r="P93" s="11" t="str">
        <f t="shared" si="3"/>
        <v>No</v>
      </c>
    </row>
    <row r="94" spans="1:19" x14ac:dyDescent="0.2">
      <c r="K94" s="2" t="s">
        <v>9</v>
      </c>
      <c r="L94" s="3" t="s">
        <v>192</v>
      </c>
    </row>
    <row r="95" spans="1:19" x14ac:dyDescent="0.2">
      <c r="K95" s="2" t="s">
        <v>9</v>
      </c>
      <c r="L95" s="3" t="s">
        <v>193</v>
      </c>
      <c r="P95" t="s">
        <v>577</v>
      </c>
    </row>
    <row r="96" spans="1:19" x14ac:dyDescent="0.2">
      <c r="K96" s="2" t="s">
        <v>10</v>
      </c>
      <c r="L96" s="3" t="s">
        <v>194</v>
      </c>
    </row>
    <row r="97" spans="11:12" x14ac:dyDescent="0.2">
      <c r="K97" s="2" t="s">
        <v>10</v>
      </c>
      <c r="L97" s="3" t="s">
        <v>101</v>
      </c>
    </row>
    <row r="98" spans="11:12" x14ac:dyDescent="0.2">
      <c r="K98" s="2" t="s">
        <v>196</v>
      </c>
      <c r="L98" s="3" t="s">
        <v>197</v>
      </c>
    </row>
    <row r="99" spans="11:12" x14ac:dyDescent="0.2">
      <c r="K99" s="2" t="s">
        <v>196</v>
      </c>
      <c r="L99" s="3" t="s">
        <v>198</v>
      </c>
    </row>
  </sheetData>
  <sortState xmlns:xlrd2="http://schemas.microsoft.com/office/spreadsheetml/2017/richdata2" ref="S1:S99">
    <sortCondition ref="S1:S99"/>
  </sortState>
  <mergeCells count="1">
    <mergeCell ref="O2:P2"/>
  </mergeCells>
  <conditionalFormatting sqref="O3:O93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915-5247-4642-9646-05A595C833D8}">
  <dimension ref="A1:R99"/>
  <sheetViews>
    <sheetView zoomScale="87" workbookViewId="0">
      <selection activeCell="E96" sqref="A1:XFD1048576"/>
    </sheetView>
  </sheetViews>
  <sheetFormatPr baseColWidth="10" defaultColWidth="11" defaultRowHeight="16" x14ac:dyDescent="0.2"/>
  <cols>
    <col min="12" max="12" width="25.6640625" customWidth="1"/>
    <col min="17" max="17" width="22.6640625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/>
      <c r="K1" t="s">
        <v>293</v>
      </c>
      <c r="L1" s="2" t="s">
        <v>199</v>
      </c>
      <c r="M1" t="s">
        <v>571</v>
      </c>
    </row>
    <row r="2" spans="1:13" x14ac:dyDescent="0.2">
      <c r="A2" s="4" t="s">
        <v>9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</v>
      </c>
      <c r="J2" s="3"/>
    </row>
    <row r="3" spans="1:13" x14ac:dyDescent="0.2">
      <c r="A3" s="4" t="s">
        <v>10</v>
      </c>
      <c r="B3" s="5">
        <v>2.7967</v>
      </c>
      <c r="C3" s="5">
        <v>2.9348999999999998</v>
      </c>
      <c r="D3" s="5">
        <v>2.8871000000000002</v>
      </c>
      <c r="E3" s="5">
        <v>2.7288000000000001</v>
      </c>
      <c r="F3" s="5">
        <v>3.3022999999999998</v>
      </c>
      <c r="G3" s="5">
        <v>3.1046999999999998</v>
      </c>
      <c r="H3" s="5">
        <v>2.96</v>
      </c>
      <c r="I3" s="5">
        <v>0.19</v>
      </c>
      <c r="J3" s="3"/>
      <c r="M3" s="2"/>
    </row>
    <row r="4" spans="1:13" x14ac:dyDescent="0.2">
      <c r="A4" s="4" t="s">
        <v>11</v>
      </c>
      <c r="B4" s="5">
        <v>4.4531999999999998</v>
      </c>
      <c r="C4" s="5">
        <v>5.1844000000000001</v>
      </c>
      <c r="D4" s="5">
        <v>4.2497999999999996</v>
      </c>
      <c r="E4" s="5">
        <v>2.8393999999999999</v>
      </c>
      <c r="F4" s="5">
        <v>5.7881</v>
      </c>
      <c r="G4" s="5">
        <v>4.7222</v>
      </c>
      <c r="H4" s="5">
        <v>4.54</v>
      </c>
      <c r="I4" s="5">
        <v>0.91</v>
      </c>
      <c r="J4" s="3"/>
      <c r="K4" t="s">
        <v>11</v>
      </c>
      <c r="L4" s="3" t="s">
        <v>294</v>
      </c>
      <c r="M4" s="3">
        <v>0.43936640916400299</v>
      </c>
    </row>
    <row r="5" spans="1:13" x14ac:dyDescent="0.2">
      <c r="A5" s="4" t="s">
        <v>12</v>
      </c>
      <c r="B5" s="5">
        <v>4.2469999999999999</v>
      </c>
      <c r="C5" s="5">
        <v>5.1029</v>
      </c>
      <c r="D5" s="5">
        <v>4.4821</v>
      </c>
      <c r="E5" s="5">
        <v>3.5173000000000001</v>
      </c>
      <c r="F5" s="5">
        <v>5.8289999999999997</v>
      </c>
      <c r="G5" s="5">
        <v>4.5887000000000002</v>
      </c>
      <c r="H5" s="5">
        <v>4.63</v>
      </c>
      <c r="I5" s="5">
        <v>0.72</v>
      </c>
      <c r="J5" s="3"/>
      <c r="K5" t="s">
        <v>12</v>
      </c>
      <c r="L5" s="3" t="s">
        <v>295</v>
      </c>
      <c r="M5" s="3">
        <v>0.418970490418417</v>
      </c>
    </row>
    <row r="6" spans="1:13" x14ac:dyDescent="0.2">
      <c r="A6" s="4" t="s">
        <v>13</v>
      </c>
      <c r="B6" s="5">
        <v>1.3436999999999999</v>
      </c>
      <c r="C6" s="5">
        <v>1.2231000000000001</v>
      </c>
      <c r="D6" s="5">
        <v>1.5072000000000001</v>
      </c>
      <c r="E6" s="5">
        <v>1.008</v>
      </c>
      <c r="F6" s="5">
        <v>2.0015000000000001</v>
      </c>
      <c r="G6" s="5">
        <v>1.1434</v>
      </c>
      <c r="H6" s="5">
        <v>1.37</v>
      </c>
      <c r="I6" s="5">
        <v>0.32</v>
      </c>
      <c r="J6" s="3"/>
      <c r="K6" t="s">
        <v>13</v>
      </c>
      <c r="L6" s="3" t="s">
        <v>296</v>
      </c>
      <c r="M6" s="3">
        <v>0.411223508186841</v>
      </c>
    </row>
    <row r="7" spans="1:13" x14ac:dyDescent="0.2">
      <c r="A7" s="4" t="s">
        <v>14</v>
      </c>
      <c r="B7" s="5">
        <v>6.3513000000000002</v>
      </c>
      <c r="C7" s="5">
        <v>5.6356999999999999</v>
      </c>
      <c r="D7" s="5">
        <v>5.6295999999999999</v>
      </c>
      <c r="E7" s="5">
        <v>4.3063000000000002</v>
      </c>
      <c r="F7" s="5">
        <v>5.7950999999999997</v>
      </c>
      <c r="G7" s="5">
        <v>4.9017999999999997</v>
      </c>
      <c r="H7" s="5">
        <v>5.44</v>
      </c>
      <c r="I7" s="5">
        <v>0.66</v>
      </c>
      <c r="J7" s="3"/>
      <c r="K7" t="s">
        <v>14</v>
      </c>
      <c r="L7" s="3" t="s">
        <v>297</v>
      </c>
      <c r="M7" s="3">
        <v>0.40805102874051902</v>
      </c>
    </row>
    <row r="8" spans="1:13" x14ac:dyDescent="0.2">
      <c r="A8" s="4" t="s">
        <v>15</v>
      </c>
      <c r="B8" s="5">
        <v>5.0002000000000004</v>
      </c>
      <c r="C8" s="5">
        <v>5.4653999999999998</v>
      </c>
      <c r="D8" s="5">
        <v>4.1276999999999999</v>
      </c>
      <c r="E8" s="5">
        <v>3.7246999999999999</v>
      </c>
      <c r="F8" s="5">
        <v>6.1257999999999999</v>
      </c>
      <c r="G8" s="5">
        <v>3.6120999999999999</v>
      </c>
      <c r="H8" s="5">
        <v>4.68</v>
      </c>
      <c r="I8" s="5">
        <v>0.93</v>
      </c>
      <c r="J8" s="3"/>
      <c r="K8" t="s">
        <v>15</v>
      </c>
      <c r="L8" s="3" t="s">
        <v>298</v>
      </c>
      <c r="M8" s="3">
        <v>0.40371520695391</v>
      </c>
    </row>
    <row r="9" spans="1:13" x14ac:dyDescent="0.2">
      <c r="A9" s="4" t="s">
        <v>16</v>
      </c>
      <c r="B9" s="5">
        <v>6.1454000000000004</v>
      </c>
      <c r="C9" s="5">
        <v>6.0029000000000003</v>
      </c>
      <c r="D9" s="5">
        <v>3.9436</v>
      </c>
      <c r="E9" s="5">
        <v>3.8792</v>
      </c>
      <c r="F9" s="5">
        <v>6.5279999999999996</v>
      </c>
      <c r="G9" s="5">
        <v>3.9131999999999998</v>
      </c>
      <c r="H9" s="5">
        <v>5.07</v>
      </c>
      <c r="I9" s="5">
        <v>1.17</v>
      </c>
      <c r="J9" s="3"/>
      <c r="K9" t="s">
        <v>16</v>
      </c>
      <c r="L9" s="3" t="s">
        <v>299</v>
      </c>
      <c r="M9" s="3">
        <v>0.402877935400689</v>
      </c>
    </row>
    <row r="10" spans="1:13" x14ac:dyDescent="0.2">
      <c r="A10" s="4" t="s">
        <v>17</v>
      </c>
      <c r="B10" s="5">
        <v>5.6306000000000003</v>
      </c>
      <c r="C10" s="5">
        <v>5.0140000000000002</v>
      </c>
      <c r="D10" s="5">
        <v>4.1734</v>
      </c>
      <c r="E10" s="5">
        <v>3.2069000000000001</v>
      </c>
      <c r="F10" s="5">
        <v>5.6814999999999998</v>
      </c>
      <c r="G10" s="5">
        <v>2.7065000000000001</v>
      </c>
      <c r="H10" s="5">
        <v>4.4000000000000004</v>
      </c>
      <c r="I10" s="5">
        <v>1.1499999999999999</v>
      </c>
      <c r="J10" s="3"/>
      <c r="K10" t="s">
        <v>17</v>
      </c>
      <c r="L10" s="3" t="s">
        <v>300</v>
      </c>
      <c r="M10" s="3">
        <v>0.39721527297867298</v>
      </c>
    </row>
    <row r="11" spans="1:13" x14ac:dyDescent="0.2">
      <c r="A11" s="4" t="s">
        <v>18</v>
      </c>
      <c r="B11" s="5">
        <v>5.1063000000000001</v>
      </c>
      <c r="C11" s="5">
        <v>4.8292999999999999</v>
      </c>
      <c r="D11" s="5">
        <v>4.0994999999999999</v>
      </c>
      <c r="E11" s="5">
        <v>2.8536999999999999</v>
      </c>
      <c r="F11" s="5">
        <v>5.5290999999999997</v>
      </c>
      <c r="G11" s="5">
        <v>3.4533999999999998</v>
      </c>
      <c r="H11" s="5">
        <v>4.3099999999999996</v>
      </c>
      <c r="I11" s="5">
        <v>0.94</v>
      </c>
      <c r="J11" s="3"/>
      <c r="K11" t="s">
        <v>18</v>
      </c>
      <c r="L11" s="3" t="s">
        <v>301</v>
      </c>
      <c r="M11" s="3">
        <v>0.39500926215001603</v>
      </c>
    </row>
    <row r="12" spans="1:13" x14ac:dyDescent="0.2">
      <c r="A12" s="4" t="s">
        <v>19</v>
      </c>
      <c r="B12" s="5">
        <v>6.6332000000000004</v>
      </c>
      <c r="C12" s="5">
        <v>5.8955000000000002</v>
      </c>
      <c r="D12" s="5">
        <v>4.5172999999999996</v>
      </c>
      <c r="E12" s="5">
        <v>3.4350999999999998</v>
      </c>
      <c r="F12" s="5">
        <v>6.4019000000000004</v>
      </c>
      <c r="G12" s="5">
        <v>3.7471999999999999</v>
      </c>
      <c r="H12" s="5">
        <v>5.1100000000000003</v>
      </c>
      <c r="I12" s="5">
        <v>1.27</v>
      </c>
      <c r="J12" s="3"/>
      <c r="K12" t="s">
        <v>19</v>
      </c>
      <c r="L12" s="3" t="s">
        <v>302</v>
      </c>
      <c r="M12" s="3">
        <v>0.39455715570659899</v>
      </c>
    </row>
    <row r="13" spans="1:13" x14ac:dyDescent="0.2">
      <c r="A13" s="4" t="s">
        <v>20</v>
      </c>
      <c r="B13" s="5">
        <v>5.2000999999999999</v>
      </c>
      <c r="C13" s="5">
        <v>5.1387</v>
      </c>
      <c r="D13" s="5">
        <v>3.3359999999999999</v>
      </c>
      <c r="E13" s="5">
        <v>2.4918</v>
      </c>
      <c r="F13" s="5">
        <v>2.7248000000000001</v>
      </c>
      <c r="G13" s="5">
        <v>2.9870000000000001</v>
      </c>
      <c r="H13" s="5">
        <v>3.65</v>
      </c>
      <c r="I13" s="5">
        <v>1.1100000000000001</v>
      </c>
      <c r="J13" s="3"/>
      <c r="K13" t="s">
        <v>20</v>
      </c>
      <c r="L13" s="3" t="s">
        <v>303</v>
      </c>
      <c r="M13" s="3">
        <v>0.39270137391883397</v>
      </c>
    </row>
    <row r="14" spans="1:13" x14ac:dyDescent="0.2">
      <c r="A14" s="4" t="s">
        <v>21</v>
      </c>
      <c r="B14" s="5">
        <v>6.6073000000000004</v>
      </c>
      <c r="C14" s="5">
        <v>6.4086999999999996</v>
      </c>
      <c r="D14" s="5">
        <v>4.3875999999999999</v>
      </c>
      <c r="E14" s="5">
        <v>3.2562000000000002</v>
      </c>
      <c r="F14" s="5">
        <v>6.6703999999999999</v>
      </c>
      <c r="G14" s="5">
        <v>4.0656999999999996</v>
      </c>
      <c r="H14" s="5">
        <v>5.23</v>
      </c>
      <c r="I14" s="5">
        <v>1.37</v>
      </c>
      <c r="J14" s="3"/>
      <c r="K14" t="s">
        <v>21</v>
      </c>
      <c r="L14" s="3" t="s">
        <v>304</v>
      </c>
      <c r="M14" s="3">
        <v>0.38632236915405499</v>
      </c>
    </row>
    <row r="15" spans="1:13" x14ac:dyDescent="0.2">
      <c r="A15" s="4" t="s">
        <v>22</v>
      </c>
      <c r="B15" s="5">
        <v>5.8090000000000002</v>
      </c>
      <c r="C15" s="5">
        <v>5.3868999999999998</v>
      </c>
      <c r="D15" s="5">
        <v>3.7784</v>
      </c>
      <c r="E15" s="5">
        <v>3.3288000000000002</v>
      </c>
      <c r="F15" s="5">
        <v>5.8433000000000002</v>
      </c>
      <c r="G15" s="5">
        <v>3.3260000000000001</v>
      </c>
      <c r="H15" s="5">
        <v>4.58</v>
      </c>
      <c r="I15" s="5">
        <v>1.1200000000000001</v>
      </c>
      <c r="J15" s="3"/>
      <c r="K15" t="s">
        <v>22</v>
      </c>
      <c r="L15" s="3" t="s">
        <v>305</v>
      </c>
      <c r="M15" s="3">
        <v>0.383192589451052</v>
      </c>
    </row>
    <row r="16" spans="1:13" x14ac:dyDescent="0.2">
      <c r="A16" s="4" t="s">
        <v>23</v>
      </c>
      <c r="B16" s="5">
        <v>5.3360000000000003</v>
      </c>
      <c r="C16" s="5">
        <v>5.4143999999999997</v>
      </c>
      <c r="D16" s="5">
        <v>5.3560999999999996</v>
      </c>
      <c r="E16" s="5">
        <v>4.0822000000000003</v>
      </c>
      <c r="F16" s="5">
        <v>7.3379000000000003</v>
      </c>
      <c r="G16" s="5">
        <v>4.7287999999999997</v>
      </c>
      <c r="H16" s="5">
        <v>5.38</v>
      </c>
      <c r="I16" s="5">
        <v>1</v>
      </c>
      <c r="J16" s="3"/>
      <c r="K16" t="s">
        <v>23</v>
      </c>
      <c r="L16" s="3" t="s">
        <v>306</v>
      </c>
      <c r="M16" s="3">
        <v>0.38126629201807</v>
      </c>
    </row>
    <row r="17" spans="1:13" x14ac:dyDescent="0.2">
      <c r="A17" s="4" t="s">
        <v>24</v>
      </c>
      <c r="B17" s="5">
        <v>4.0179</v>
      </c>
      <c r="C17" s="5">
        <v>4.0995999999999997</v>
      </c>
      <c r="D17" s="5">
        <v>4.3480999999999996</v>
      </c>
      <c r="E17" s="5">
        <v>3.0550999999999999</v>
      </c>
      <c r="F17" s="5">
        <v>5.5004</v>
      </c>
      <c r="G17" s="5">
        <v>3.9992000000000001</v>
      </c>
      <c r="H17" s="5">
        <v>4.17</v>
      </c>
      <c r="I17" s="5">
        <v>0.72</v>
      </c>
      <c r="J17" s="3"/>
      <c r="K17" t="s">
        <v>24</v>
      </c>
      <c r="L17" s="3" t="s">
        <v>307</v>
      </c>
      <c r="M17" s="3">
        <v>0.37989438973629702</v>
      </c>
    </row>
    <row r="18" spans="1:13" x14ac:dyDescent="0.2">
      <c r="A18" s="4" t="s">
        <v>25</v>
      </c>
      <c r="B18" s="5">
        <v>4.6045999999999996</v>
      </c>
      <c r="C18" s="5">
        <v>3.9432</v>
      </c>
      <c r="D18" s="5">
        <v>3.4325000000000001</v>
      </c>
      <c r="E18" s="5">
        <v>3.0836999999999999</v>
      </c>
      <c r="F18" s="5">
        <v>4.8548999999999998</v>
      </c>
      <c r="G18" s="5">
        <v>2.8338000000000001</v>
      </c>
      <c r="H18" s="5">
        <v>3.79</v>
      </c>
      <c r="I18" s="5">
        <v>0.75</v>
      </c>
      <c r="J18" s="3"/>
      <c r="K18" t="s">
        <v>25</v>
      </c>
      <c r="L18" s="3" t="s">
        <v>308</v>
      </c>
      <c r="M18" s="3">
        <v>0.376085128480526</v>
      </c>
    </row>
    <row r="19" spans="1:13" x14ac:dyDescent="0.2">
      <c r="A19" s="4" t="s">
        <v>26</v>
      </c>
      <c r="B19" s="5">
        <v>3.6839</v>
      </c>
      <c r="C19" s="5">
        <v>4.5930999999999997</v>
      </c>
      <c r="D19" s="5">
        <v>3.9123999999999999</v>
      </c>
      <c r="E19" s="5">
        <v>3.4234</v>
      </c>
      <c r="F19" s="5">
        <v>5.9913999999999996</v>
      </c>
      <c r="G19" s="5">
        <v>3.5973999999999999</v>
      </c>
      <c r="H19" s="5">
        <v>4.2</v>
      </c>
      <c r="I19" s="5">
        <v>0.88</v>
      </c>
      <c r="J19" s="3"/>
      <c r="K19" t="s">
        <v>26</v>
      </c>
      <c r="L19" s="3" t="s">
        <v>309</v>
      </c>
      <c r="M19" s="3">
        <v>0.37350724571808203</v>
      </c>
    </row>
    <row r="20" spans="1:13" x14ac:dyDescent="0.2">
      <c r="A20" s="4" t="s">
        <v>27</v>
      </c>
      <c r="B20" s="5">
        <v>5.4264000000000001</v>
      </c>
      <c r="C20" s="5">
        <v>3.8959000000000001</v>
      </c>
      <c r="D20" s="5">
        <v>3.7728000000000002</v>
      </c>
      <c r="E20" s="5">
        <v>3.2610999999999999</v>
      </c>
      <c r="F20" s="5">
        <v>5.6547999999999998</v>
      </c>
      <c r="G20" s="5">
        <v>3.1063999999999998</v>
      </c>
      <c r="H20" s="5">
        <v>4.1900000000000004</v>
      </c>
      <c r="I20" s="5">
        <v>1</v>
      </c>
      <c r="J20" s="3"/>
      <c r="K20" t="s">
        <v>27</v>
      </c>
      <c r="L20" s="3" t="s">
        <v>310</v>
      </c>
      <c r="M20" s="3">
        <v>0.36911251144847501</v>
      </c>
    </row>
    <row r="21" spans="1:13" x14ac:dyDescent="0.2">
      <c r="A21" s="4" t="s">
        <v>28</v>
      </c>
      <c r="B21" s="5">
        <v>5.4081999999999999</v>
      </c>
      <c r="C21" s="5">
        <v>4.9812000000000003</v>
      </c>
      <c r="D21" s="5">
        <v>4.4359000000000002</v>
      </c>
      <c r="E21" s="5">
        <v>3.8473999999999999</v>
      </c>
      <c r="F21" s="5">
        <v>5.9541000000000004</v>
      </c>
      <c r="G21" s="5">
        <v>4.4543999999999997</v>
      </c>
      <c r="H21" s="5">
        <v>4.8499999999999996</v>
      </c>
      <c r="I21" s="5">
        <v>0.69</v>
      </c>
      <c r="J21" s="3"/>
      <c r="K21" t="s">
        <v>28</v>
      </c>
      <c r="L21" s="3" t="s">
        <v>311</v>
      </c>
      <c r="M21" s="3">
        <v>0.36757030031426602</v>
      </c>
    </row>
    <row r="22" spans="1:13" x14ac:dyDescent="0.2">
      <c r="A22" s="4" t="s">
        <v>29</v>
      </c>
      <c r="B22" s="5">
        <v>5.2408000000000001</v>
      </c>
      <c r="C22" s="5">
        <v>4.4790999999999999</v>
      </c>
      <c r="D22" s="5">
        <v>3.9032</v>
      </c>
      <c r="E22" s="5">
        <v>2.8193999999999999</v>
      </c>
      <c r="F22" s="5">
        <v>4.3484999999999996</v>
      </c>
      <c r="G22" s="5">
        <v>3.1450999999999998</v>
      </c>
      <c r="H22" s="5">
        <v>3.99</v>
      </c>
      <c r="I22" s="5">
        <v>0.82</v>
      </c>
      <c r="J22" s="3"/>
      <c r="K22" t="s">
        <v>29</v>
      </c>
      <c r="L22" s="3" t="s">
        <v>312</v>
      </c>
      <c r="M22" s="3">
        <v>0.36756187801498802</v>
      </c>
    </row>
    <row r="23" spans="1:13" x14ac:dyDescent="0.2">
      <c r="A23" s="4" t="s">
        <v>30</v>
      </c>
      <c r="B23" s="5">
        <v>0.1149</v>
      </c>
      <c r="C23" s="5">
        <v>-1.78E-2</v>
      </c>
      <c r="D23" s="5">
        <v>0.1074</v>
      </c>
      <c r="E23" s="5">
        <v>9.7299999999999998E-2</v>
      </c>
      <c r="F23" s="5">
        <v>9.4899999999999998E-2</v>
      </c>
      <c r="G23" s="5">
        <v>9.6299999999999997E-2</v>
      </c>
      <c r="H23" s="5">
        <v>0.08</v>
      </c>
      <c r="I23" s="5">
        <v>0.05</v>
      </c>
      <c r="J23" s="3"/>
      <c r="K23" t="s">
        <v>30</v>
      </c>
      <c r="L23" s="3" t="s">
        <v>313</v>
      </c>
      <c r="M23" s="3">
        <v>0.36754465452204599</v>
      </c>
    </row>
    <row r="24" spans="1:13" x14ac:dyDescent="0.2">
      <c r="A24" s="4" t="s">
        <v>31</v>
      </c>
      <c r="B24" s="5">
        <v>5.2294</v>
      </c>
      <c r="C24" s="5">
        <v>4.7422000000000004</v>
      </c>
      <c r="D24" s="5">
        <v>3.64</v>
      </c>
      <c r="E24" s="5">
        <v>3.1614</v>
      </c>
      <c r="F24" s="5">
        <v>4.5069999999999997</v>
      </c>
      <c r="G24" s="5">
        <v>3.2860999999999998</v>
      </c>
      <c r="H24" s="5">
        <v>4.09</v>
      </c>
      <c r="I24" s="5">
        <v>0.78</v>
      </c>
      <c r="J24" s="3"/>
      <c r="K24" t="s">
        <v>31</v>
      </c>
      <c r="L24" s="3" t="s">
        <v>314</v>
      </c>
      <c r="M24" s="3">
        <v>0.36617683111294702</v>
      </c>
    </row>
    <row r="25" spans="1:13" x14ac:dyDescent="0.2">
      <c r="A25" s="4" t="s">
        <v>32</v>
      </c>
      <c r="B25" s="5">
        <v>5.9984000000000002</v>
      </c>
      <c r="C25" s="5">
        <v>4.9048999999999996</v>
      </c>
      <c r="D25" s="5">
        <v>3.4662999999999999</v>
      </c>
      <c r="E25" s="5">
        <v>2.7667000000000002</v>
      </c>
      <c r="F25" s="5">
        <v>5.1786000000000003</v>
      </c>
      <c r="G25" s="5">
        <v>3.0121000000000002</v>
      </c>
      <c r="H25" s="5">
        <v>4.22</v>
      </c>
      <c r="I25" s="5">
        <v>1.2</v>
      </c>
      <c r="J25" s="3"/>
      <c r="K25" t="s">
        <v>32</v>
      </c>
      <c r="L25" s="3" t="s">
        <v>315</v>
      </c>
      <c r="M25" s="3">
        <v>0.365028451684838</v>
      </c>
    </row>
    <row r="26" spans="1:13" x14ac:dyDescent="0.2">
      <c r="A26" s="4" t="s">
        <v>33</v>
      </c>
      <c r="B26" s="5">
        <v>5.6898999999999997</v>
      </c>
      <c r="C26" s="5">
        <v>4.6703000000000001</v>
      </c>
      <c r="D26" s="5">
        <v>3.3656000000000001</v>
      </c>
      <c r="E26" s="5">
        <v>3.7930000000000001</v>
      </c>
      <c r="F26" s="5">
        <v>5.1310000000000002</v>
      </c>
      <c r="G26" s="5">
        <v>3.1905000000000001</v>
      </c>
      <c r="H26" s="5">
        <v>4.3099999999999996</v>
      </c>
      <c r="I26" s="5">
        <v>0.92</v>
      </c>
      <c r="J26" s="3"/>
      <c r="K26" t="s">
        <v>33</v>
      </c>
      <c r="L26" s="3" t="s">
        <v>316</v>
      </c>
      <c r="M26" s="3">
        <v>0.36412993085055001</v>
      </c>
    </row>
    <row r="27" spans="1:13" x14ac:dyDescent="0.2">
      <c r="A27" s="4" t="s">
        <v>34</v>
      </c>
      <c r="B27" s="5">
        <v>5.2317</v>
      </c>
      <c r="C27" s="5">
        <v>4.7187000000000001</v>
      </c>
      <c r="D27" s="5">
        <v>3.6661000000000001</v>
      </c>
      <c r="E27" s="5">
        <v>3.2907999999999999</v>
      </c>
      <c r="F27" s="5">
        <v>6.1314000000000002</v>
      </c>
      <c r="G27" s="5">
        <v>3.5331000000000001</v>
      </c>
      <c r="H27" s="5">
        <v>4.43</v>
      </c>
      <c r="I27" s="5">
        <v>1.03</v>
      </c>
      <c r="J27" s="3"/>
      <c r="K27" t="s">
        <v>34</v>
      </c>
      <c r="L27" s="3" t="s">
        <v>317</v>
      </c>
      <c r="M27" s="3">
        <v>0.36320328622600101</v>
      </c>
    </row>
    <row r="28" spans="1:13" x14ac:dyDescent="0.2">
      <c r="A28" s="4" t="s">
        <v>35</v>
      </c>
      <c r="B28" s="5">
        <v>6.9752999999999998</v>
      </c>
      <c r="C28" s="5">
        <v>5.5781000000000001</v>
      </c>
      <c r="D28" s="5">
        <v>4.7188999999999997</v>
      </c>
      <c r="E28" s="5">
        <v>5.4061000000000003</v>
      </c>
      <c r="F28" s="5">
        <v>6.3196000000000003</v>
      </c>
      <c r="G28" s="5">
        <v>6.7233999999999998</v>
      </c>
      <c r="H28" s="5">
        <v>5.95</v>
      </c>
      <c r="I28" s="5">
        <v>0.79</v>
      </c>
      <c r="J28" s="3"/>
      <c r="K28" t="s">
        <v>35</v>
      </c>
      <c r="L28" s="3" t="s">
        <v>318</v>
      </c>
      <c r="M28" s="3">
        <v>0.36093933498034803</v>
      </c>
    </row>
    <row r="29" spans="1:13" x14ac:dyDescent="0.2">
      <c r="A29" s="4" t="s">
        <v>36</v>
      </c>
      <c r="B29" s="5">
        <v>4.2857000000000003</v>
      </c>
      <c r="C29" s="5">
        <v>4.8994999999999997</v>
      </c>
      <c r="D29" s="5">
        <v>3.4268000000000001</v>
      </c>
      <c r="E29" s="5">
        <v>2.7494000000000001</v>
      </c>
      <c r="F29" s="5">
        <v>5.3282999999999996</v>
      </c>
      <c r="G29" s="5">
        <v>4.4931000000000001</v>
      </c>
      <c r="H29" s="5">
        <v>4.2</v>
      </c>
      <c r="I29" s="5">
        <v>0.87</v>
      </c>
      <c r="J29" s="3"/>
      <c r="K29" t="s">
        <v>36</v>
      </c>
      <c r="L29" s="3" t="s">
        <v>319</v>
      </c>
      <c r="M29" s="3">
        <v>0.36071021858539698</v>
      </c>
    </row>
    <row r="30" spans="1:13" x14ac:dyDescent="0.2">
      <c r="A30" s="4" t="s">
        <v>37</v>
      </c>
      <c r="B30" s="5">
        <v>2.4731999999999998</v>
      </c>
      <c r="C30" s="5">
        <v>4.1974</v>
      </c>
      <c r="D30" s="5">
        <v>3.8178999999999998</v>
      </c>
      <c r="E30" s="5">
        <v>3.2016</v>
      </c>
      <c r="F30" s="5">
        <v>4.1829000000000001</v>
      </c>
      <c r="G30" s="5">
        <v>3.3186</v>
      </c>
      <c r="H30" s="5">
        <v>3.53</v>
      </c>
      <c r="I30" s="5">
        <v>0.61</v>
      </c>
      <c r="J30" s="3"/>
      <c r="K30" t="s">
        <v>37</v>
      </c>
      <c r="L30" s="3" t="s">
        <v>320</v>
      </c>
      <c r="M30" s="3">
        <v>0.35897995253064402</v>
      </c>
    </row>
    <row r="31" spans="1:13" x14ac:dyDescent="0.2">
      <c r="A31" s="4" t="s">
        <v>38</v>
      </c>
      <c r="B31" s="5">
        <v>0.14169999999999999</v>
      </c>
      <c r="C31" s="5">
        <v>9.7500000000000003E-2</v>
      </c>
      <c r="D31" s="5">
        <v>0.2024</v>
      </c>
      <c r="E31" s="5">
        <v>0.18820000000000001</v>
      </c>
      <c r="F31" s="5">
        <v>0.2137</v>
      </c>
      <c r="G31" s="5">
        <v>0.14299999999999999</v>
      </c>
      <c r="H31" s="5">
        <v>0.16</v>
      </c>
      <c r="I31" s="5">
        <v>0.04</v>
      </c>
      <c r="J31" s="3"/>
      <c r="K31" t="s">
        <v>38</v>
      </c>
      <c r="L31" s="3" t="s">
        <v>321</v>
      </c>
      <c r="M31" s="3">
        <v>0.35825905793262702</v>
      </c>
    </row>
    <row r="32" spans="1:13" x14ac:dyDescent="0.2">
      <c r="A32" s="4" t="s">
        <v>39</v>
      </c>
      <c r="B32" s="5">
        <v>4.8689</v>
      </c>
      <c r="C32" s="5">
        <v>4.9939999999999998</v>
      </c>
      <c r="D32" s="5">
        <v>3.8307000000000002</v>
      </c>
      <c r="E32" s="5">
        <v>3.1947999999999999</v>
      </c>
      <c r="F32" s="5">
        <v>4.7043999999999997</v>
      </c>
      <c r="G32" s="5">
        <v>3.2395</v>
      </c>
      <c r="H32" s="5">
        <v>4.1399999999999997</v>
      </c>
      <c r="I32" s="5">
        <v>0.75</v>
      </c>
      <c r="J32" s="3"/>
      <c r="K32" t="s">
        <v>39</v>
      </c>
      <c r="L32" s="3" t="s">
        <v>322</v>
      </c>
      <c r="M32" s="3">
        <v>0.35670044305437598</v>
      </c>
    </row>
    <row r="33" spans="1:13" x14ac:dyDescent="0.2">
      <c r="A33" s="4" t="s">
        <v>40</v>
      </c>
      <c r="B33" s="5">
        <v>2.9540999999999999</v>
      </c>
      <c r="C33" s="5">
        <v>3.7736000000000001</v>
      </c>
      <c r="D33" s="5">
        <v>3.0693000000000001</v>
      </c>
      <c r="E33" s="5">
        <v>2.8401000000000001</v>
      </c>
      <c r="F33" s="5">
        <v>4.2003000000000004</v>
      </c>
      <c r="G33" s="5">
        <v>2.9742000000000002</v>
      </c>
      <c r="H33" s="5">
        <v>3.3</v>
      </c>
      <c r="I33" s="5">
        <v>0.5</v>
      </c>
      <c r="J33" s="3"/>
      <c r="K33" t="s">
        <v>40</v>
      </c>
      <c r="L33" s="3" t="s">
        <v>323</v>
      </c>
      <c r="M33" s="3">
        <v>0.35666568911679603</v>
      </c>
    </row>
    <row r="34" spans="1:13" x14ac:dyDescent="0.2">
      <c r="A34" s="4" t="s">
        <v>41</v>
      </c>
      <c r="B34" s="5">
        <v>0.93700000000000006</v>
      </c>
      <c r="C34" s="5">
        <v>0.82589999999999997</v>
      </c>
      <c r="D34" s="5">
        <v>0.8296</v>
      </c>
      <c r="E34" s="5">
        <v>0.56540000000000001</v>
      </c>
      <c r="F34" s="5">
        <v>1.0277000000000001</v>
      </c>
      <c r="G34" s="5">
        <v>0.77739999999999998</v>
      </c>
      <c r="H34" s="5">
        <v>0.83</v>
      </c>
      <c r="I34" s="5">
        <v>0.14000000000000001</v>
      </c>
      <c r="J34" s="3"/>
      <c r="K34" t="s">
        <v>41</v>
      </c>
      <c r="L34" s="3" t="s">
        <v>324</v>
      </c>
      <c r="M34" s="3">
        <v>0.356073918091804</v>
      </c>
    </row>
    <row r="35" spans="1:13" x14ac:dyDescent="0.2">
      <c r="A35" s="4" t="s">
        <v>42</v>
      </c>
      <c r="B35" s="5">
        <v>4.5831999999999997</v>
      </c>
      <c r="C35" s="5">
        <v>3.7378999999999998</v>
      </c>
      <c r="D35" s="5">
        <v>3.4186999999999999</v>
      </c>
      <c r="E35" s="5">
        <v>2.7296</v>
      </c>
      <c r="F35" s="5">
        <v>4.5674000000000001</v>
      </c>
      <c r="G35" s="5">
        <v>2.9891999999999999</v>
      </c>
      <c r="H35" s="5">
        <v>3.67</v>
      </c>
      <c r="I35" s="5">
        <v>0.71</v>
      </c>
      <c r="J35" s="3"/>
      <c r="K35" t="s">
        <v>42</v>
      </c>
      <c r="L35" s="3" t="s">
        <v>325</v>
      </c>
      <c r="M35" s="3">
        <v>0.35137132712710401</v>
      </c>
    </row>
    <row r="36" spans="1:13" x14ac:dyDescent="0.2">
      <c r="A36" s="4" t="s">
        <v>43</v>
      </c>
      <c r="B36" s="5">
        <v>5.1638000000000002</v>
      </c>
      <c r="C36" s="5">
        <v>4.3726000000000003</v>
      </c>
      <c r="D36" s="5">
        <v>3.3052000000000001</v>
      </c>
      <c r="E36" s="5">
        <v>3.6114999999999999</v>
      </c>
      <c r="F36" s="5">
        <v>4.8644999999999996</v>
      </c>
      <c r="G36" s="5">
        <v>3.5045000000000002</v>
      </c>
      <c r="H36" s="5">
        <v>4.1399999999999997</v>
      </c>
      <c r="I36" s="5">
        <v>0.71</v>
      </c>
      <c r="J36" s="3"/>
      <c r="K36" t="s">
        <v>43</v>
      </c>
      <c r="L36" s="3" t="s">
        <v>326</v>
      </c>
      <c r="M36" s="3">
        <v>0.34819173189340402</v>
      </c>
    </row>
    <row r="37" spans="1:13" x14ac:dyDescent="0.2">
      <c r="A37" s="4" t="s">
        <v>44</v>
      </c>
      <c r="B37" s="5">
        <v>4.7058</v>
      </c>
      <c r="C37" s="5">
        <v>3.9922</v>
      </c>
      <c r="D37" s="5">
        <v>3.0352999999999999</v>
      </c>
      <c r="E37" s="5">
        <v>2.7568999999999999</v>
      </c>
      <c r="F37" s="5">
        <v>4.5030999999999999</v>
      </c>
      <c r="G37" s="5">
        <v>3.3007</v>
      </c>
      <c r="H37" s="5">
        <v>3.72</v>
      </c>
      <c r="I37" s="5">
        <v>0.73</v>
      </c>
      <c r="J37" s="3"/>
      <c r="K37" t="s">
        <v>44</v>
      </c>
      <c r="L37" s="3" t="s">
        <v>327</v>
      </c>
      <c r="M37" s="3">
        <v>0.34606011782545598</v>
      </c>
    </row>
    <row r="38" spans="1:13" x14ac:dyDescent="0.2">
      <c r="A38" s="4" t="s">
        <v>45</v>
      </c>
      <c r="B38" s="5">
        <v>5.4128999999999996</v>
      </c>
      <c r="C38" s="5">
        <v>5.1326999999999998</v>
      </c>
      <c r="D38" s="5">
        <v>3.8382000000000001</v>
      </c>
      <c r="E38" s="5">
        <v>4.6527000000000003</v>
      </c>
      <c r="F38" s="5">
        <v>5.4264000000000001</v>
      </c>
      <c r="G38" s="5">
        <v>4.0003000000000002</v>
      </c>
      <c r="H38" s="5">
        <v>4.74</v>
      </c>
      <c r="I38" s="5">
        <v>0.64</v>
      </c>
      <c r="J38" s="3"/>
      <c r="K38" t="s">
        <v>45</v>
      </c>
      <c r="L38" s="3" t="s">
        <v>328</v>
      </c>
      <c r="M38" s="3">
        <v>0.34513714187591399</v>
      </c>
    </row>
    <row r="39" spans="1:13" x14ac:dyDescent="0.2">
      <c r="A39" s="4" t="s">
        <v>46</v>
      </c>
      <c r="B39" s="5">
        <v>7.2744</v>
      </c>
      <c r="C39" s="5">
        <v>8.2928999999999995</v>
      </c>
      <c r="D39" s="5">
        <v>6.0597000000000003</v>
      </c>
      <c r="E39" s="5">
        <v>5.0155000000000003</v>
      </c>
      <c r="F39" s="5">
        <v>11.123900000000001</v>
      </c>
      <c r="G39" s="5">
        <v>5.4710999999999999</v>
      </c>
      <c r="H39" s="5">
        <v>7.21</v>
      </c>
      <c r="I39" s="5">
        <v>2.0699999999999998</v>
      </c>
      <c r="J39" s="3"/>
      <c r="K39" t="s">
        <v>46</v>
      </c>
      <c r="L39" s="3" t="s">
        <v>329</v>
      </c>
      <c r="M39" s="3">
        <v>0.34260499403294498</v>
      </c>
    </row>
    <row r="40" spans="1:13" x14ac:dyDescent="0.2">
      <c r="A40" s="4" t="s">
        <v>47</v>
      </c>
      <c r="B40" s="5">
        <v>3.8393999999999999</v>
      </c>
      <c r="C40" s="5">
        <v>4.6778000000000004</v>
      </c>
      <c r="D40" s="5">
        <v>3.4108999999999998</v>
      </c>
      <c r="E40" s="5">
        <v>3.5613999999999999</v>
      </c>
      <c r="F40" s="5">
        <v>5.5354000000000001</v>
      </c>
      <c r="G40" s="5">
        <v>3.7690000000000001</v>
      </c>
      <c r="H40" s="5">
        <v>4.13</v>
      </c>
      <c r="I40" s="5">
        <v>0.75</v>
      </c>
      <c r="J40" s="3"/>
      <c r="K40" t="s">
        <v>47</v>
      </c>
      <c r="L40" s="3" t="s">
        <v>330</v>
      </c>
      <c r="M40" s="3">
        <v>0.342402632023669</v>
      </c>
    </row>
    <row r="41" spans="1:13" x14ac:dyDescent="0.2">
      <c r="A41" s="4" t="s">
        <v>48</v>
      </c>
      <c r="B41" s="5">
        <v>4.0716000000000001</v>
      </c>
      <c r="C41" s="5">
        <v>4.6882000000000001</v>
      </c>
      <c r="D41" s="5">
        <v>3.7877999999999998</v>
      </c>
      <c r="E41" s="5">
        <v>3.1772999999999998</v>
      </c>
      <c r="F41" s="5">
        <v>5.5427</v>
      </c>
      <c r="G41" s="5">
        <v>4.0441000000000003</v>
      </c>
      <c r="H41" s="5">
        <v>4.22</v>
      </c>
      <c r="I41" s="5">
        <v>0.74</v>
      </c>
      <c r="J41" s="3"/>
      <c r="K41" t="s">
        <v>48</v>
      </c>
      <c r="L41" s="3" t="s">
        <v>331</v>
      </c>
      <c r="M41" s="3">
        <v>0.34030376671248402</v>
      </c>
    </row>
    <row r="42" spans="1:13" x14ac:dyDescent="0.2">
      <c r="A42" s="4" t="s">
        <v>49</v>
      </c>
      <c r="B42" s="5">
        <v>3.1602000000000001</v>
      </c>
      <c r="C42" s="5">
        <v>4.2516999999999996</v>
      </c>
      <c r="D42" s="5">
        <v>3.6040000000000001</v>
      </c>
      <c r="E42" s="5">
        <v>3.0251000000000001</v>
      </c>
      <c r="F42" s="5">
        <v>4.5624000000000002</v>
      </c>
      <c r="G42" s="5">
        <v>3.3852000000000002</v>
      </c>
      <c r="H42" s="5">
        <v>3.66</v>
      </c>
      <c r="I42" s="5">
        <v>0.56000000000000005</v>
      </c>
      <c r="J42" s="3"/>
      <c r="K42" t="s">
        <v>49</v>
      </c>
      <c r="L42" s="3" t="s">
        <v>332</v>
      </c>
      <c r="M42" s="3">
        <v>0.33965168265795398</v>
      </c>
    </row>
    <row r="43" spans="1:13" x14ac:dyDescent="0.2">
      <c r="A43" s="4" t="s">
        <v>50</v>
      </c>
      <c r="B43" s="5">
        <v>4.2731000000000003</v>
      </c>
      <c r="C43" s="5">
        <v>4.4752000000000001</v>
      </c>
      <c r="D43" s="5">
        <v>3.5350999999999999</v>
      </c>
      <c r="E43" s="5">
        <v>3.0960999999999999</v>
      </c>
      <c r="F43" s="5">
        <v>4.0225999999999997</v>
      </c>
      <c r="G43" s="5">
        <v>3.0182000000000002</v>
      </c>
      <c r="H43" s="5">
        <v>3.74</v>
      </c>
      <c r="I43" s="5">
        <v>0.56000000000000005</v>
      </c>
      <c r="J43" s="3"/>
      <c r="K43" t="s">
        <v>50</v>
      </c>
      <c r="L43" s="3" t="s">
        <v>333</v>
      </c>
      <c r="M43" s="3">
        <v>0.33787347444418298</v>
      </c>
    </row>
    <row r="44" spans="1:13" x14ac:dyDescent="0.2">
      <c r="A44" s="4" t="s">
        <v>51</v>
      </c>
      <c r="B44" s="5">
        <v>7.2999999999999995E-2</v>
      </c>
      <c r="C44" s="5">
        <v>1.55E-2</v>
      </c>
      <c r="D44" s="5">
        <v>0.2253</v>
      </c>
      <c r="E44" s="5">
        <v>0.13639999999999999</v>
      </c>
      <c r="F44" s="5">
        <v>0.22289999999999999</v>
      </c>
      <c r="G44" s="5">
        <v>0.14779999999999999</v>
      </c>
      <c r="H44" s="5">
        <v>0.14000000000000001</v>
      </c>
      <c r="I44" s="5">
        <v>0.08</v>
      </c>
      <c r="J44" s="3"/>
      <c r="K44" t="s">
        <v>51</v>
      </c>
      <c r="L44" s="3" t="s">
        <v>334</v>
      </c>
      <c r="M44" s="3">
        <v>0.33695095051850699</v>
      </c>
    </row>
    <row r="45" spans="1:13" x14ac:dyDescent="0.2">
      <c r="A45" s="4" t="s">
        <v>52</v>
      </c>
      <c r="B45" s="5">
        <v>3.8469000000000002</v>
      </c>
      <c r="C45" s="5">
        <v>4.3067000000000002</v>
      </c>
      <c r="D45" s="5">
        <v>3.3952</v>
      </c>
      <c r="E45" s="5">
        <v>2.8083999999999998</v>
      </c>
      <c r="F45" s="5">
        <v>5.0309999999999997</v>
      </c>
      <c r="G45" s="5">
        <v>3.0924999999999998</v>
      </c>
      <c r="H45" s="5">
        <v>3.75</v>
      </c>
      <c r="I45" s="5">
        <v>0.75</v>
      </c>
      <c r="J45" s="3"/>
      <c r="K45" t="s">
        <v>52</v>
      </c>
      <c r="L45" s="3" t="s">
        <v>335</v>
      </c>
      <c r="M45" s="3">
        <v>0.33649406827738798</v>
      </c>
    </row>
    <row r="46" spans="1:13" x14ac:dyDescent="0.2">
      <c r="A46" s="4" t="s">
        <v>53</v>
      </c>
      <c r="B46" s="5">
        <v>4.2618999999999998</v>
      </c>
      <c r="C46" s="5">
        <v>4.2862</v>
      </c>
      <c r="D46" s="5">
        <v>3.7366999999999999</v>
      </c>
      <c r="E46" s="5">
        <v>2.4453</v>
      </c>
      <c r="F46" s="5">
        <v>4.9762000000000004</v>
      </c>
      <c r="G46" s="5">
        <v>3.0594999999999999</v>
      </c>
      <c r="H46" s="5">
        <v>3.79</v>
      </c>
      <c r="I46" s="5">
        <v>0.84</v>
      </c>
      <c r="J46" s="3"/>
      <c r="K46" t="s">
        <v>53</v>
      </c>
      <c r="L46" s="3" t="s">
        <v>336</v>
      </c>
      <c r="M46" s="3">
        <v>0.33487980741283302</v>
      </c>
    </row>
    <row r="47" spans="1:13" x14ac:dyDescent="0.2">
      <c r="A47" s="4" t="s">
        <v>54</v>
      </c>
      <c r="B47" s="5">
        <v>4.7709999999999999</v>
      </c>
      <c r="C47" s="5">
        <v>4.5795000000000003</v>
      </c>
      <c r="D47" s="5">
        <v>4.2602000000000002</v>
      </c>
      <c r="E47" s="5">
        <v>2.7631999999999999</v>
      </c>
      <c r="F47" s="5">
        <v>6.5456000000000003</v>
      </c>
      <c r="G47" s="5">
        <v>4.4328000000000003</v>
      </c>
      <c r="H47" s="5">
        <v>4.5599999999999996</v>
      </c>
      <c r="I47" s="5">
        <v>1.1000000000000001</v>
      </c>
      <c r="J47" s="3"/>
      <c r="K47" t="s">
        <v>54</v>
      </c>
      <c r="L47" s="3" t="s">
        <v>337</v>
      </c>
      <c r="M47" s="3">
        <v>0.33254810326709799</v>
      </c>
    </row>
    <row r="48" spans="1:13" x14ac:dyDescent="0.2">
      <c r="A48" s="4" t="s">
        <v>55</v>
      </c>
      <c r="B48" s="5">
        <v>5.1658999999999997</v>
      </c>
      <c r="C48" s="5">
        <v>4.5529000000000002</v>
      </c>
      <c r="D48" s="5">
        <v>3.706</v>
      </c>
      <c r="E48" s="5">
        <v>3.7147999999999999</v>
      </c>
      <c r="F48" s="5">
        <v>5.4736000000000002</v>
      </c>
      <c r="G48" s="5">
        <v>3.8336000000000001</v>
      </c>
      <c r="H48" s="5">
        <v>4.41</v>
      </c>
      <c r="I48" s="5">
        <v>0.71</v>
      </c>
      <c r="J48" s="3"/>
      <c r="K48" t="s">
        <v>55</v>
      </c>
      <c r="L48" s="3" t="s">
        <v>338</v>
      </c>
      <c r="M48" s="3">
        <v>0.33224136793221998</v>
      </c>
    </row>
    <row r="49" spans="1:18" x14ac:dyDescent="0.2">
      <c r="A49" s="4" t="s">
        <v>56</v>
      </c>
      <c r="B49" s="5">
        <v>6.4500000000000002E-2</v>
      </c>
      <c r="C49" s="5">
        <v>7.6399999999999996E-2</v>
      </c>
      <c r="D49" s="5">
        <v>0.1384</v>
      </c>
      <c r="E49" s="5">
        <v>9.1800000000000007E-2</v>
      </c>
      <c r="F49" s="5">
        <v>7.1499999999999994E-2</v>
      </c>
      <c r="G49" s="5">
        <v>0.1106</v>
      </c>
      <c r="H49" s="5">
        <v>0.09</v>
      </c>
      <c r="I49" s="5">
        <v>0.03</v>
      </c>
      <c r="J49" s="3"/>
      <c r="K49" t="s">
        <v>56</v>
      </c>
      <c r="L49" s="3" t="s">
        <v>339</v>
      </c>
      <c r="M49" s="3">
        <v>0.33137135920987598</v>
      </c>
    </row>
    <row r="50" spans="1:18" x14ac:dyDescent="0.2">
      <c r="A50" s="4" t="s">
        <v>57</v>
      </c>
      <c r="B50" s="5">
        <v>4.3593999999999999</v>
      </c>
      <c r="C50" s="5">
        <v>4.9408000000000003</v>
      </c>
      <c r="D50" s="5">
        <v>3.3094000000000001</v>
      </c>
      <c r="E50" s="5">
        <v>3.1707000000000001</v>
      </c>
      <c r="F50" s="5">
        <v>5.5907999999999998</v>
      </c>
      <c r="G50" s="5">
        <v>3.8500999999999999</v>
      </c>
      <c r="H50" s="5">
        <v>4.2</v>
      </c>
      <c r="I50" s="5">
        <v>0.86</v>
      </c>
      <c r="J50" s="3"/>
      <c r="K50" t="s">
        <v>57</v>
      </c>
      <c r="L50" s="3" t="s">
        <v>340</v>
      </c>
      <c r="M50" s="3">
        <v>0.33135886704224998</v>
      </c>
    </row>
    <row r="51" spans="1:18" x14ac:dyDescent="0.2">
      <c r="A51" s="4" t="s">
        <v>58</v>
      </c>
      <c r="B51" s="5">
        <v>3.0099</v>
      </c>
      <c r="C51" s="5">
        <v>3.7273999999999998</v>
      </c>
      <c r="D51" s="5">
        <v>2.5907</v>
      </c>
      <c r="E51" s="5">
        <v>2.6284000000000001</v>
      </c>
      <c r="F51" s="5">
        <v>4.4381000000000004</v>
      </c>
      <c r="G51" s="5">
        <v>2.3595000000000002</v>
      </c>
      <c r="H51" s="5">
        <v>3.13</v>
      </c>
      <c r="I51" s="5">
        <v>0.73</v>
      </c>
      <c r="J51" s="3"/>
      <c r="K51" t="s">
        <v>58</v>
      </c>
      <c r="L51" s="3" t="s">
        <v>341</v>
      </c>
      <c r="M51" s="3">
        <v>0.32686563099525301</v>
      </c>
    </row>
    <row r="52" spans="1:18" x14ac:dyDescent="0.2">
      <c r="A52" s="4" t="s">
        <v>59</v>
      </c>
      <c r="B52" s="5">
        <v>3.7991000000000001</v>
      </c>
      <c r="C52" s="5">
        <v>4.0530999999999997</v>
      </c>
      <c r="D52" s="5">
        <v>3.0339</v>
      </c>
      <c r="E52" s="5">
        <v>3.3532000000000002</v>
      </c>
      <c r="F52" s="5">
        <v>4.0826000000000002</v>
      </c>
      <c r="G52" s="5">
        <v>3.6465000000000001</v>
      </c>
      <c r="H52" s="5">
        <v>3.66</v>
      </c>
      <c r="I52" s="5">
        <v>0.37</v>
      </c>
      <c r="J52" s="3"/>
      <c r="K52" t="s">
        <v>59</v>
      </c>
      <c r="L52" s="3" t="s">
        <v>342</v>
      </c>
      <c r="M52" s="3">
        <v>0.32561895820053499</v>
      </c>
    </row>
    <row r="53" spans="1:18" x14ac:dyDescent="0.2">
      <c r="A53" s="4" t="s">
        <v>60</v>
      </c>
      <c r="B53" s="5">
        <v>4.8270999999999997</v>
      </c>
      <c r="C53" s="5">
        <v>4.9778000000000002</v>
      </c>
      <c r="D53" s="5">
        <v>4.2595000000000001</v>
      </c>
      <c r="E53" s="5">
        <v>3.512</v>
      </c>
      <c r="F53" s="5">
        <v>5.9321000000000002</v>
      </c>
      <c r="G53" s="5">
        <v>4.4923999999999999</v>
      </c>
      <c r="H53" s="5">
        <v>4.67</v>
      </c>
      <c r="I53" s="5">
        <v>0.74</v>
      </c>
      <c r="J53" s="3"/>
      <c r="K53" t="s">
        <v>60</v>
      </c>
      <c r="L53" s="3" t="s">
        <v>343</v>
      </c>
      <c r="M53" s="3">
        <v>0.32433170431332498</v>
      </c>
    </row>
    <row r="54" spans="1:18" x14ac:dyDescent="0.2">
      <c r="A54" s="4" t="s">
        <v>61</v>
      </c>
      <c r="B54" s="5">
        <v>4.4092000000000002</v>
      </c>
      <c r="C54" s="5">
        <v>4.8620000000000001</v>
      </c>
      <c r="D54" s="5">
        <v>3.8544</v>
      </c>
      <c r="E54" s="5">
        <v>3.4660000000000002</v>
      </c>
      <c r="F54" s="5">
        <v>5.3571999999999997</v>
      </c>
      <c r="G54" s="5">
        <v>4.5552999999999999</v>
      </c>
      <c r="H54" s="5">
        <v>4.42</v>
      </c>
      <c r="I54" s="5">
        <v>0.62</v>
      </c>
      <c r="J54" s="3"/>
      <c r="K54" t="s">
        <v>61</v>
      </c>
      <c r="L54" s="3" t="s">
        <v>344</v>
      </c>
      <c r="M54" s="3">
        <v>0.32317787865900099</v>
      </c>
    </row>
    <row r="55" spans="1:18" x14ac:dyDescent="0.2">
      <c r="A55" s="4" t="s">
        <v>62</v>
      </c>
      <c r="B55" s="5">
        <v>3.6553</v>
      </c>
      <c r="C55" s="5">
        <v>4.4493999999999998</v>
      </c>
      <c r="D55" s="5">
        <v>3.7210999999999999</v>
      </c>
      <c r="E55" s="5">
        <v>3.3553999999999999</v>
      </c>
      <c r="F55" s="5">
        <v>5.0110000000000001</v>
      </c>
      <c r="G55" s="5">
        <v>3.8422000000000001</v>
      </c>
      <c r="H55" s="5">
        <v>4.01</v>
      </c>
      <c r="I55" s="5">
        <v>0.56000000000000005</v>
      </c>
      <c r="J55" s="3"/>
      <c r="K55" t="s">
        <v>62</v>
      </c>
      <c r="L55" s="3" t="s">
        <v>345</v>
      </c>
      <c r="M55" s="3">
        <v>0.32286800883481998</v>
      </c>
    </row>
    <row r="56" spans="1:18" x14ac:dyDescent="0.2">
      <c r="A56" s="4" t="s">
        <v>63</v>
      </c>
      <c r="B56" s="5">
        <v>3.5177</v>
      </c>
      <c r="C56" s="5">
        <v>3.2829999999999999</v>
      </c>
      <c r="D56" s="5">
        <v>3.3784000000000001</v>
      </c>
      <c r="E56" s="5">
        <v>2.7986</v>
      </c>
      <c r="F56" s="5">
        <v>4.4012000000000002</v>
      </c>
      <c r="G56" s="5">
        <v>2.7581000000000002</v>
      </c>
      <c r="H56" s="5">
        <v>3.36</v>
      </c>
      <c r="I56" s="5">
        <v>0.55000000000000004</v>
      </c>
      <c r="J56" s="3"/>
      <c r="K56" t="s">
        <v>63</v>
      </c>
      <c r="L56" s="3" t="s">
        <v>346</v>
      </c>
      <c r="M56" s="3">
        <v>0.32204242690630602</v>
      </c>
    </row>
    <row r="57" spans="1:18" x14ac:dyDescent="0.2">
      <c r="A57" s="4" t="s">
        <v>64</v>
      </c>
      <c r="B57" s="5">
        <v>3.6408</v>
      </c>
      <c r="C57" s="5">
        <v>3.5785</v>
      </c>
      <c r="D57" s="5">
        <v>3.2725</v>
      </c>
      <c r="E57" s="5">
        <v>4.1978999999999997</v>
      </c>
      <c r="F57" s="5">
        <v>4.2431000000000001</v>
      </c>
      <c r="G57" s="5">
        <v>2.9628999999999999</v>
      </c>
      <c r="H57" s="5">
        <v>3.65</v>
      </c>
      <c r="I57" s="5">
        <v>0.46</v>
      </c>
      <c r="J57" s="3"/>
      <c r="K57" t="s">
        <v>64</v>
      </c>
      <c r="L57" s="3" t="s">
        <v>347</v>
      </c>
      <c r="M57" s="3">
        <v>0.32111959556158498</v>
      </c>
    </row>
    <row r="58" spans="1:18" x14ac:dyDescent="0.2">
      <c r="A58" s="4" t="s">
        <v>65</v>
      </c>
      <c r="B58" s="5">
        <v>3.7839</v>
      </c>
      <c r="C58" s="5">
        <v>4.7164000000000001</v>
      </c>
      <c r="D58" s="5">
        <v>3.4140999999999999</v>
      </c>
      <c r="E58" s="5">
        <v>3.7959000000000001</v>
      </c>
      <c r="F58" s="5">
        <v>5.4128999999999996</v>
      </c>
      <c r="G58" s="5">
        <v>3.5779000000000001</v>
      </c>
      <c r="H58" s="5">
        <v>4.12</v>
      </c>
      <c r="I58" s="5">
        <v>0.71</v>
      </c>
      <c r="J58" s="3"/>
      <c r="K58" t="s">
        <v>65</v>
      </c>
      <c r="L58" s="3" t="s">
        <v>348</v>
      </c>
      <c r="M58" s="3">
        <v>0.32063729886810999</v>
      </c>
    </row>
    <row r="59" spans="1:18" x14ac:dyDescent="0.2">
      <c r="A59" s="4" t="s">
        <v>66</v>
      </c>
      <c r="B59" s="5">
        <v>5.0408999999999997</v>
      </c>
      <c r="C59" s="5">
        <v>5.7637999999999998</v>
      </c>
      <c r="D59" s="5">
        <v>4.4158999999999997</v>
      </c>
      <c r="E59" s="5">
        <v>4.4881000000000002</v>
      </c>
      <c r="F59" s="5">
        <v>6.3228999999999997</v>
      </c>
      <c r="G59" s="5">
        <v>4.1096000000000004</v>
      </c>
      <c r="H59" s="5">
        <v>5.0199999999999996</v>
      </c>
      <c r="I59" s="5">
        <v>0.79</v>
      </c>
      <c r="J59" s="3"/>
      <c r="K59" t="s">
        <v>66</v>
      </c>
      <c r="L59" s="3" t="s">
        <v>349</v>
      </c>
      <c r="M59" s="3">
        <v>0.318669104282015</v>
      </c>
    </row>
    <row r="60" spans="1:18" x14ac:dyDescent="0.2">
      <c r="A60" s="4" t="s">
        <v>67</v>
      </c>
      <c r="B60" s="5">
        <v>5.4457000000000004</v>
      </c>
      <c r="C60" s="5">
        <v>6.3000999999999996</v>
      </c>
      <c r="D60" s="5">
        <v>4.5483000000000002</v>
      </c>
      <c r="E60" s="5">
        <v>5.9926000000000004</v>
      </c>
      <c r="F60" s="5">
        <v>6.6426999999999996</v>
      </c>
      <c r="G60" s="5">
        <v>5.1013000000000002</v>
      </c>
      <c r="H60" s="5">
        <v>5.67</v>
      </c>
      <c r="I60" s="5">
        <v>0.72</v>
      </c>
      <c r="J60" s="3"/>
      <c r="K60" t="s">
        <v>67</v>
      </c>
      <c r="L60" s="3" t="s">
        <v>350</v>
      </c>
      <c r="M60" s="3">
        <v>0.31866329010584898</v>
      </c>
    </row>
    <row r="61" spans="1:18" x14ac:dyDescent="0.2">
      <c r="A61" s="4" t="s">
        <v>68</v>
      </c>
      <c r="B61" s="5">
        <v>7.3129</v>
      </c>
      <c r="C61" s="5">
        <v>7.6608000000000001</v>
      </c>
      <c r="D61" s="5">
        <v>5.8216999999999999</v>
      </c>
      <c r="E61" s="5">
        <v>7.4528999999999996</v>
      </c>
      <c r="F61" s="5">
        <v>10.7279</v>
      </c>
      <c r="G61" s="5">
        <v>6.2492000000000001</v>
      </c>
      <c r="H61" s="5">
        <v>7.54</v>
      </c>
      <c r="I61" s="5">
        <v>1.57</v>
      </c>
      <c r="J61" s="3"/>
      <c r="K61" t="s">
        <v>68</v>
      </c>
      <c r="L61" s="3" t="s">
        <v>351</v>
      </c>
      <c r="M61" s="3">
        <v>0.31847151618506903</v>
      </c>
      <c r="Q61" s="2"/>
      <c r="R61" s="3"/>
    </row>
    <row r="62" spans="1:18" x14ac:dyDescent="0.2">
      <c r="A62" s="4" t="s">
        <v>69</v>
      </c>
      <c r="B62" s="5">
        <v>4.6578999999999997</v>
      </c>
      <c r="C62" s="5">
        <v>5.0650000000000004</v>
      </c>
      <c r="D62" s="5">
        <v>3.7303999999999999</v>
      </c>
      <c r="E62" s="5">
        <v>2.9477000000000002</v>
      </c>
      <c r="F62" s="5">
        <v>6.1443000000000003</v>
      </c>
      <c r="G62" s="5">
        <v>4.0350000000000001</v>
      </c>
      <c r="H62" s="5">
        <v>4.43</v>
      </c>
      <c r="I62" s="5">
        <v>1.02</v>
      </c>
      <c r="J62" s="3"/>
      <c r="K62" t="s">
        <v>69</v>
      </c>
      <c r="L62" s="3" t="s">
        <v>352</v>
      </c>
      <c r="M62" s="3">
        <v>0.31790338920005101</v>
      </c>
      <c r="Q62" s="2"/>
      <c r="R62" s="3"/>
    </row>
    <row r="63" spans="1:18" x14ac:dyDescent="0.2">
      <c r="A63" s="4" t="s">
        <v>70</v>
      </c>
      <c r="B63" s="5">
        <v>4.9097</v>
      </c>
      <c r="C63" s="5">
        <v>5.7317999999999998</v>
      </c>
      <c r="D63" s="5">
        <v>4.7462999999999997</v>
      </c>
      <c r="E63" s="5">
        <v>5.0477999999999996</v>
      </c>
      <c r="F63" s="5">
        <v>7.2083000000000004</v>
      </c>
      <c r="G63" s="5">
        <v>4.5762</v>
      </c>
      <c r="H63" s="5">
        <v>5.37</v>
      </c>
      <c r="I63" s="5">
        <v>0.9</v>
      </c>
      <c r="J63" s="3"/>
      <c r="K63" t="s">
        <v>70</v>
      </c>
      <c r="L63" s="3" t="s">
        <v>353</v>
      </c>
      <c r="M63" s="3">
        <v>0.31740679752714801</v>
      </c>
      <c r="Q63" s="2"/>
      <c r="R63" s="3"/>
    </row>
    <row r="64" spans="1:18" x14ac:dyDescent="0.2">
      <c r="A64" s="4" t="s">
        <v>71</v>
      </c>
      <c r="B64" s="5">
        <v>4.7739000000000003</v>
      </c>
      <c r="C64" s="5">
        <v>4.1749000000000001</v>
      </c>
      <c r="D64" s="5">
        <v>3.9319000000000002</v>
      </c>
      <c r="E64" s="5">
        <v>3.9201000000000001</v>
      </c>
      <c r="F64" s="5">
        <v>5.2854000000000001</v>
      </c>
      <c r="G64" s="5">
        <v>3.7989999999999999</v>
      </c>
      <c r="H64" s="5">
        <v>4.3099999999999996</v>
      </c>
      <c r="I64" s="5">
        <v>0.54</v>
      </c>
      <c r="J64" s="3"/>
      <c r="K64" t="s">
        <v>71</v>
      </c>
      <c r="L64" s="3" t="s">
        <v>354</v>
      </c>
      <c r="M64" s="3">
        <v>0.31638974752115401</v>
      </c>
      <c r="Q64" s="2"/>
      <c r="R64" s="3"/>
    </row>
    <row r="65" spans="1:18" x14ac:dyDescent="0.2">
      <c r="A65" s="4" t="s">
        <v>72</v>
      </c>
      <c r="B65" s="5">
        <v>3.2642000000000002</v>
      </c>
      <c r="C65" s="5">
        <v>3.7972999999999999</v>
      </c>
      <c r="D65" s="5">
        <v>3.7488999999999999</v>
      </c>
      <c r="E65" s="5">
        <v>3.1151</v>
      </c>
      <c r="F65" s="5">
        <v>4.3814000000000002</v>
      </c>
      <c r="G65" s="5">
        <v>4.0030000000000001</v>
      </c>
      <c r="H65" s="5">
        <v>3.72</v>
      </c>
      <c r="I65" s="5">
        <v>0.43</v>
      </c>
      <c r="J65" s="3"/>
      <c r="K65" t="s">
        <v>72</v>
      </c>
      <c r="L65" s="3" t="s">
        <v>355</v>
      </c>
      <c r="M65" s="3">
        <v>0.31615652419031098</v>
      </c>
      <c r="Q65" s="2"/>
      <c r="R65" s="3"/>
    </row>
    <row r="66" spans="1:18" x14ac:dyDescent="0.2">
      <c r="A66" s="4" t="s">
        <v>73</v>
      </c>
      <c r="B66" s="5">
        <v>5.1742999999999997</v>
      </c>
      <c r="C66" s="5">
        <v>8.1739999999999995</v>
      </c>
      <c r="D66" s="5">
        <v>5.6524999999999999</v>
      </c>
      <c r="E66" s="5">
        <v>8.0007000000000001</v>
      </c>
      <c r="F66" s="5">
        <v>7.8682999999999996</v>
      </c>
      <c r="G66" s="5">
        <v>5.7215999999999996</v>
      </c>
      <c r="H66" s="5">
        <v>6.77</v>
      </c>
      <c r="I66" s="5">
        <v>1.26</v>
      </c>
      <c r="J66" s="3"/>
      <c r="K66" t="s">
        <v>73</v>
      </c>
      <c r="L66" s="3" t="s">
        <v>356</v>
      </c>
      <c r="M66" s="3">
        <v>0.31615652419031098</v>
      </c>
      <c r="Q66" s="2"/>
      <c r="R66" s="3"/>
    </row>
    <row r="67" spans="1:18" x14ac:dyDescent="0.2">
      <c r="A67" s="4" t="s">
        <v>74</v>
      </c>
      <c r="B67" s="5">
        <v>4.6531000000000002</v>
      </c>
      <c r="C67" s="5">
        <v>4.7431000000000001</v>
      </c>
      <c r="D67" s="5">
        <v>3.8151000000000002</v>
      </c>
      <c r="E67" s="5">
        <v>5.1839000000000004</v>
      </c>
      <c r="F67" s="5">
        <v>5.5510000000000002</v>
      </c>
      <c r="G67" s="5">
        <v>4.2321</v>
      </c>
      <c r="H67" s="5">
        <v>4.7</v>
      </c>
      <c r="I67" s="5">
        <v>0.56999999999999995</v>
      </c>
      <c r="J67" s="3"/>
      <c r="K67" t="s">
        <v>74</v>
      </c>
      <c r="L67" s="3" t="s">
        <v>357</v>
      </c>
      <c r="M67" s="3">
        <v>0.31416573376318802</v>
      </c>
    </row>
    <row r="68" spans="1:18" x14ac:dyDescent="0.2">
      <c r="A68" s="4" t="s">
        <v>75</v>
      </c>
      <c r="B68" s="5">
        <v>4.6009000000000002</v>
      </c>
      <c r="C68" s="5">
        <v>4.5853000000000002</v>
      </c>
      <c r="D68" s="5">
        <v>4.5468000000000002</v>
      </c>
      <c r="E68" s="5">
        <v>4.7925000000000004</v>
      </c>
      <c r="F68" s="5">
        <v>5.8501000000000003</v>
      </c>
      <c r="G68" s="5">
        <v>4.2201000000000004</v>
      </c>
      <c r="H68" s="5">
        <v>4.7699999999999996</v>
      </c>
      <c r="I68" s="5">
        <v>0.51</v>
      </c>
      <c r="J68" s="3"/>
      <c r="K68" t="s">
        <v>75</v>
      </c>
      <c r="L68" s="3" t="s">
        <v>358</v>
      </c>
      <c r="M68" s="3">
        <v>0.31416573376318802</v>
      </c>
    </row>
    <row r="69" spans="1:18" x14ac:dyDescent="0.2">
      <c r="A69" s="4" t="s">
        <v>76</v>
      </c>
      <c r="B69" s="5">
        <v>4.3381999999999996</v>
      </c>
      <c r="C69" s="5">
        <v>4.2637999999999998</v>
      </c>
      <c r="D69" s="5">
        <v>3.9447000000000001</v>
      </c>
      <c r="E69" s="5">
        <v>5.4985999999999997</v>
      </c>
      <c r="F69" s="5">
        <v>5.5829000000000004</v>
      </c>
      <c r="G69" s="5">
        <v>3.5716000000000001</v>
      </c>
      <c r="H69" s="5">
        <v>4.53</v>
      </c>
      <c r="I69" s="5">
        <v>0.75</v>
      </c>
      <c r="J69" s="3"/>
      <c r="K69" t="s">
        <v>76</v>
      </c>
      <c r="L69" s="3" t="s">
        <v>359</v>
      </c>
      <c r="M69" s="3">
        <v>0.31348787154114499</v>
      </c>
    </row>
    <row r="70" spans="1:18" x14ac:dyDescent="0.2">
      <c r="A70" s="4" t="s">
        <v>77</v>
      </c>
      <c r="B70" s="5">
        <v>3.5451999999999999</v>
      </c>
      <c r="C70" s="5">
        <v>3.661</v>
      </c>
      <c r="D70" s="5">
        <v>3.4083999999999999</v>
      </c>
      <c r="E70" s="5">
        <v>2.895</v>
      </c>
      <c r="F70" s="5">
        <v>4.5022000000000002</v>
      </c>
      <c r="G70" s="5">
        <v>3.0789</v>
      </c>
      <c r="H70" s="5">
        <v>3.52</v>
      </c>
      <c r="I70" s="5">
        <v>0.51</v>
      </c>
      <c r="J70" s="3"/>
      <c r="K70" t="s">
        <v>77</v>
      </c>
      <c r="L70" s="3" t="s">
        <v>360</v>
      </c>
      <c r="M70" s="3">
        <v>0.312396234654572</v>
      </c>
    </row>
    <row r="71" spans="1:18" x14ac:dyDescent="0.2">
      <c r="A71" s="4" t="s">
        <v>78</v>
      </c>
      <c r="B71" s="5">
        <v>6.5820999999999996</v>
      </c>
      <c r="C71" s="5">
        <v>6.9309000000000003</v>
      </c>
      <c r="D71" s="5">
        <v>6.1380999999999997</v>
      </c>
      <c r="E71" s="5">
        <v>5.5084999999999997</v>
      </c>
      <c r="F71" s="5">
        <v>9.2573000000000008</v>
      </c>
      <c r="G71" s="5">
        <v>5.9397000000000002</v>
      </c>
      <c r="H71" s="5">
        <v>6.73</v>
      </c>
      <c r="I71" s="5">
        <v>1.22</v>
      </c>
      <c r="J71" s="3"/>
      <c r="K71" t="s">
        <v>78</v>
      </c>
      <c r="L71" s="3" t="s">
        <v>361</v>
      </c>
      <c r="M71" s="3">
        <v>0.30554125195056098</v>
      </c>
    </row>
    <row r="72" spans="1:18" x14ac:dyDescent="0.2">
      <c r="A72" s="4" t="s">
        <v>79</v>
      </c>
      <c r="B72" s="5">
        <v>3.2313000000000001</v>
      </c>
      <c r="C72" s="5">
        <v>3.8062</v>
      </c>
      <c r="D72" s="5">
        <v>3.1572</v>
      </c>
      <c r="E72" s="5">
        <v>3.6783999999999999</v>
      </c>
      <c r="F72" s="5">
        <v>4.3697999999999997</v>
      </c>
      <c r="G72" s="5">
        <v>2.6797</v>
      </c>
      <c r="H72" s="5">
        <v>3.49</v>
      </c>
      <c r="I72" s="5">
        <v>0.54</v>
      </c>
      <c r="J72" s="3"/>
      <c r="K72" t="s">
        <v>79</v>
      </c>
      <c r="L72" s="3" t="s">
        <v>362</v>
      </c>
      <c r="M72" s="3">
        <v>0.30993330471029801</v>
      </c>
    </row>
    <row r="73" spans="1:18" x14ac:dyDescent="0.2">
      <c r="A73" s="4" t="s">
        <v>80</v>
      </c>
      <c r="B73" s="5">
        <v>3.7995999999999999</v>
      </c>
      <c r="C73" s="5">
        <v>4.5666000000000002</v>
      </c>
      <c r="D73" s="5">
        <v>3.6698</v>
      </c>
      <c r="E73" s="5">
        <v>3.8687</v>
      </c>
      <c r="F73" s="5">
        <v>5.55</v>
      </c>
      <c r="G73" s="5">
        <v>3.5905999999999998</v>
      </c>
      <c r="H73" s="5">
        <v>4.17</v>
      </c>
      <c r="I73" s="5">
        <v>0.69</v>
      </c>
      <c r="J73" s="3"/>
      <c r="K73" t="s">
        <v>80</v>
      </c>
      <c r="L73" s="3" t="s">
        <v>363</v>
      </c>
      <c r="M73" s="3">
        <v>0.30850331240135798</v>
      </c>
    </row>
    <row r="74" spans="1:18" x14ac:dyDescent="0.2">
      <c r="A74" s="4" t="s">
        <v>81</v>
      </c>
      <c r="B74" s="5">
        <v>1.5561</v>
      </c>
      <c r="C74" s="5">
        <v>1.5952999999999999</v>
      </c>
      <c r="D74" s="5">
        <v>1.3469</v>
      </c>
      <c r="E74" s="5">
        <v>1.2929999999999999</v>
      </c>
      <c r="F74" s="5">
        <v>2.181</v>
      </c>
      <c r="G74" s="5">
        <v>1.0074000000000001</v>
      </c>
      <c r="H74" s="5">
        <v>1.5</v>
      </c>
      <c r="I74" s="5">
        <v>0.36</v>
      </c>
      <c r="J74" s="3"/>
      <c r="K74" t="s">
        <v>81</v>
      </c>
      <c r="L74" s="3" t="s">
        <v>364</v>
      </c>
      <c r="M74" s="3">
        <v>0.30711242624034901</v>
      </c>
    </row>
    <row r="75" spans="1:18" x14ac:dyDescent="0.2">
      <c r="A75" s="4" t="s">
        <v>82</v>
      </c>
      <c r="B75" s="5">
        <v>3.8690000000000002</v>
      </c>
      <c r="C75" s="5">
        <v>5.1624999999999996</v>
      </c>
      <c r="D75" s="5">
        <v>3.6734</v>
      </c>
      <c r="E75" s="5">
        <v>4.0678000000000001</v>
      </c>
      <c r="F75" s="5">
        <v>6.2794999999999996</v>
      </c>
      <c r="G75" s="5">
        <v>3.2637</v>
      </c>
      <c r="H75" s="5">
        <v>4.3899999999999997</v>
      </c>
      <c r="I75" s="5">
        <v>1.03</v>
      </c>
      <c r="J75" s="3"/>
      <c r="K75" t="s">
        <v>82</v>
      </c>
      <c r="L75" s="3" t="s">
        <v>365</v>
      </c>
      <c r="M75" s="3">
        <v>0.31211553342699999</v>
      </c>
    </row>
    <row r="76" spans="1:18" x14ac:dyDescent="0.2">
      <c r="A76" s="4" t="s">
        <v>83</v>
      </c>
      <c r="B76" s="5">
        <v>3.8218000000000001</v>
      </c>
      <c r="C76" s="5">
        <v>3.9874000000000001</v>
      </c>
      <c r="D76" s="5">
        <v>3.7698999999999998</v>
      </c>
      <c r="E76" s="5">
        <v>3.7391000000000001</v>
      </c>
      <c r="F76" s="5">
        <v>4.0861000000000001</v>
      </c>
      <c r="G76" s="5">
        <v>3.0558000000000001</v>
      </c>
      <c r="H76" s="5">
        <v>3.74</v>
      </c>
      <c r="I76" s="5">
        <v>0.33</v>
      </c>
      <c r="J76" s="3"/>
      <c r="K76" t="s">
        <v>83</v>
      </c>
      <c r="L76" s="3" t="s">
        <v>366</v>
      </c>
      <c r="M76" s="3">
        <v>0.305310032746403</v>
      </c>
    </row>
    <row r="77" spans="1:18" x14ac:dyDescent="0.2">
      <c r="A77" s="4" t="s">
        <v>84</v>
      </c>
      <c r="B77" s="5">
        <v>3.5072000000000001</v>
      </c>
      <c r="C77" s="5">
        <v>3.9714</v>
      </c>
      <c r="D77" s="5">
        <v>3.7603</v>
      </c>
      <c r="E77" s="5">
        <v>4.0339</v>
      </c>
      <c r="F77" s="5">
        <v>4.4767999999999999</v>
      </c>
      <c r="G77" s="5">
        <v>3.9940000000000002</v>
      </c>
      <c r="H77" s="5">
        <v>3.96</v>
      </c>
      <c r="I77" s="5">
        <v>0.28999999999999998</v>
      </c>
      <c r="J77" s="3"/>
      <c r="K77" t="s">
        <v>84</v>
      </c>
      <c r="L77" s="3" t="s">
        <v>367</v>
      </c>
      <c r="M77" s="3">
        <v>0.30328642072672002</v>
      </c>
    </row>
    <row r="78" spans="1:18" x14ac:dyDescent="0.2">
      <c r="A78" s="4" t="s">
        <v>85</v>
      </c>
      <c r="B78" s="5">
        <v>3.6816</v>
      </c>
      <c r="C78" s="5">
        <v>4.5107999999999997</v>
      </c>
      <c r="D78" s="5">
        <v>4.1322000000000001</v>
      </c>
      <c r="E78" s="5">
        <v>4.6932999999999998</v>
      </c>
      <c r="F78" s="5">
        <v>5.1111000000000004</v>
      </c>
      <c r="G78" s="5">
        <v>4.8992000000000004</v>
      </c>
      <c r="H78" s="5">
        <v>4.5</v>
      </c>
      <c r="I78" s="5">
        <v>0.48</v>
      </c>
      <c r="J78" s="3"/>
      <c r="K78" t="s">
        <v>85</v>
      </c>
      <c r="L78" s="3" t="s">
        <v>368</v>
      </c>
      <c r="M78" s="3">
        <v>0.30181470527495502</v>
      </c>
    </row>
    <row r="79" spans="1:18" x14ac:dyDescent="0.2">
      <c r="A79" s="4" t="s">
        <v>86</v>
      </c>
      <c r="B79" s="5">
        <v>4.8968999999999996</v>
      </c>
      <c r="C79" s="5">
        <v>4.3087999999999997</v>
      </c>
      <c r="D79" s="5">
        <v>4.8855000000000004</v>
      </c>
      <c r="E79" s="5">
        <v>4.6142000000000003</v>
      </c>
      <c r="F79" s="5">
        <v>6.1677999999999997</v>
      </c>
      <c r="G79" s="5">
        <v>4.5465</v>
      </c>
      <c r="H79" s="5">
        <v>4.9000000000000004</v>
      </c>
      <c r="I79" s="5">
        <v>0.6</v>
      </c>
      <c r="J79" s="3"/>
      <c r="K79" t="s">
        <v>86</v>
      </c>
      <c r="L79" s="3" t="s">
        <v>369</v>
      </c>
      <c r="M79" s="3">
        <v>0.30156053058417498</v>
      </c>
    </row>
    <row r="80" spans="1:18" x14ac:dyDescent="0.2">
      <c r="A80" s="4" t="s">
        <v>87</v>
      </c>
      <c r="B80" s="5">
        <v>3.5741000000000001</v>
      </c>
      <c r="C80" s="5">
        <v>4.0412999999999997</v>
      </c>
      <c r="D80" s="5">
        <v>3.9420000000000002</v>
      </c>
      <c r="E80" s="5">
        <v>4.2380000000000004</v>
      </c>
      <c r="F80" s="5">
        <v>4.7744</v>
      </c>
      <c r="G80" s="5">
        <v>3.2919</v>
      </c>
      <c r="H80" s="5">
        <v>3.98</v>
      </c>
      <c r="I80" s="5">
        <v>0.47</v>
      </c>
      <c r="J80" s="3"/>
      <c r="K80" t="s">
        <v>87</v>
      </c>
      <c r="L80" s="3" t="s">
        <v>370</v>
      </c>
      <c r="M80" s="3">
        <v>0.30041968439105099</v>
      </c>
    </row>
    <row r="81" spans="1:13" x14ac:dyDescent="0.2">
      <c r="A81" s="4" t="s">
        <v>88</v>
      </c>
      <c r="B81" s="5">
        <v>2.0442</v>
      </c>
      <c r="C81" s="5">
        <v>2.3696000000000002</v>
      </c>
      <c r="D81" s="5">
        <v>2.2681</v>
      </c>
      <c r="E81" s="5">
        <v>2.7692999999999999</v>
      </c>
      <c r="F81" s="5">
        <v>2.7197</v>
      </c>
      <c r="G81" s="5">
        <v>1.8238000000000001</v>
      </c>
      <c r="H81" s="5">
        <v>2.33</v>
      </c>
      <c r="I81" s="5">
        <v>0.34</v>
      </c>
      <c r="J81" s="3"/>
      <c r="K81" t="s">
        <v>88</v>
      </c>
      <c r="L81" s="3" t="s">
        <v>371</v>
      </c>
      <c r="M81" s="3">
        <v>0.29938674867103898</v>
      </c>
    </row>
    <row r="82" spans="1:13" x14ac:dyDescent="0.2">
      <c r="A82" s="4" t="s">
        <v>89</v>
      </c>
      <c r="B82" s="5">
        <v>1.2209000000000001</v>
      </c>
      <c r="C82" s="5">
        <v>1.2845</v>
      </c>
      <c r="D82" s="5">
        <v>1.1149</v>
      </c>
      <c r="E82" s="5">
        <v>1.3579000000000001</v>
      </c>
      <c r="F82" s="5">
        <v>1.4794</v>
      </c>
      <c r="G82" s="5">
        <v>1.1518999999999999</v>
      </c>
      <c r="H82" s="5">
        <v>1.27</v>
      </c>
      <c r="I82" s="5">
        <v>0.12</v>
      </c>
      <c r="J82" s="3"/>
      <c r="K82" t="s">
        <v>89</v>
      </c>
      <c r="L82" s="3" t="s">
        <v>372</v>
      </c>
      <c r="M82" s="3">
        <v>0.29936544400877302</v>
      </c>
    </row>
    <row r="83" spans="1:13" x14ac:dyDescent="0.2">
      <c r="A83" s="4" t="s">
        <v>90</v>
      </c>
      <c r="B83" s="5">
        <v>2.8883000000000001</v>
      </c>
      <c r="C83" s="5">
        <v>3.3593999999999999</v>
      </c>
      <c r="D83" s="5">
        <v>2.7094999999999998</v>
      </c>
      <c r="E83" s="5">
        <v>4.2603999999999997</v>
      </c>
      <c r="F83" s="5">
        <v>3.7919999999999998</v>
      </c>
      <c r="G83" s="5">
        <v>3.4357000000000002</v>
      </c>
      <c r="H83" s="5">
        <v>3.41</v>
      </c>
      <c r="I83" s="5">
        <v>0.52</v>
      </c>
      <c r="J83" s="3"/>
      <c r="K83" t="s">
        <v>90</v>
      </c>
      <c r="L83" s="3" t="s">
        <v>373</v>
      </c>
      <c r="M83" s="3">
        <v>0.29797380094587</v>
      </c>
    </row>
    <row r="84" spans="1:13" x14ac:dyDescent="0.2">
      <c r="A84" s="4" t="s">
        <v>91</v>
      </c>
      <c r="B84" s="5">
        <v>2.1884999999999999</v>
      </c>
      <c r="C84" s="5">
        <v>2.218</v>
      </c>
      <c r="D84" s="5">
        <v>2.0160999999999998</v>
      </c>
      <c r="E84" s="5">
        <v>2.2669999999999999</v>
      </c>
      <c r="F84" s="5">
        <v>2.2865000000000002</v>
      </c>
      <c r="G84" s="5">
        <v>2.3616000000000001</v>
      </c>
      <c r="H84" s="5">
        <v>2.2200000000000002</v>
      </c>
      <c r="I84" s="5">
        <v>0.11</v>
      </c>
      <c r="J84" s="3"/>
      <c r="K84" t="s">
        <v>91</v>
      </c>
      <c r="L84" s="3" t="s">
        <v>374</v>
      </c>
      <c r="M84" s="3">
        <v>0.29797380094587</v>
      </c>
    </row>
    <row r="85" spans="1:13" x14ac:dyDescent="0.2">
      <c r="A85" s="4" t="s">
        <v>92</v>
      </c>
      <c r="B85" s="5">
        <v>3.3300999999999998</v>
      </c>
      <c r="C85" s="5">
        <v>4.8166000000000002</v>
      </c>
      <c r="D85" s="5">
        <v>3.5581</v>
      </c>
      <c r="E85" s="5">
        <v>4.0182000000000002</v>
      </c>
      <c r="F85" s="5">
        <v>5.8723000000000001</v>
      </c>
      <c r="G85" s="5">
        <v>4.3430999999999997</v>
      </c>
      <c r="H85" s="5">
        <v>4.32</v>
      </c>
      <c r="I85" s="5">
        <v>0.85</v>
      </c>
      <c r="J85" s="3"/>
      <c r="K85" t="s">
        <v>92</v>
      </c>
      <c r="L85" s="3" t="s">
        <v>375</v>
      </c>
      <c r="M85" s="3">
        <v>0.297638668092572</v>
      </c>
    </row>
    <row r="86" spans="1:13" x14ac:dyDescent="0.2">
      <c r="A86" s="4" t="s">
        <v>93</v>
      </c>
      <c r="B86" s="5">
        <v>1.4662999999999999</v>
      </c>
      <c r="C86" s="5">
        <v>1.5484</v>
      </c>
      <c r="D86" s="5">
        <v>1.3629</v>
      </c>
      <c r="E86" s="5">
        <v>1.4206000000000001</v>
      </c>
      <c r="F86" s="5">
        <v>1.7379</v>
      </c>
      <c r="G86" s="5">
        <v>1.1962999999999999</v>
      </c>
      <c r="H86" s="5">
        <v>1.46</v>
      </c>
      <c r="I86" s="5">
        <v>0.17</v>
      </c>
      <c r="J86" s="3"/>
      <c r="K86" t="s">
        <v>93</v>
      </c>
      <c r="L86" s="3" t="s">
        <v>376</v>
      </c>
      <c r="M86" s="3">
        <v>0.29619296456245098</v>
      </c>
    </row>
    <row r="87" spans="1:13" x14ac:dyDescent="0.2">
      <c r="A87" s="4" t="s">
        <v>94</v>
      </c>
      <c r="B87" s="5">
        <v>1.0699999999999999E-2</v>
      </c>
      <c r="C87" s="5">
        <v>6.0100000000000001E-2</v>
      </c>
      <c r="D87" s="5">
        <v>3.9300000000000002E-2</v>
      </c>
      <c r="E87" s="5">
        <v>7.2999999999999995E-2</v>
      </c>
      <c r="F87" s="5">
        <v>6.6299999999999998E-2</v>
      </c>
      <c r="G87" s="5">
        <v>2.7000000000000001E-3</v>
      </c>
      <c r="H87" s="5">
        <v>0.04</v>
      </c>
      <c r="I87" s="5">
        <v>0.03</v>
      </c>
      <c r="J87" s="3"/>
      <c r="K87" t="s">
        <v>94</v>
      </c>
      <c r="L87" s="3" t="s">
        <v>377</v>
      </c>
      <c r="M87" s="3">
        <v>0.29488919356524701</v>
      </c>
    </row>
    <row r="88" spans="1:13" x14ac:dyDescent="0.2">
      <c r="A88" s="4" t="s">
        <v>95</v>
      </c>
      <c r="B88" s="5">
        <v>4.5419</v>
      </c>
      <c r="C88" s="5">
        <v>4.5965999999999996</v>
      </c>
      <c r="D88" s="5">
        <v>4.1536</v>
      </c>
      <c r="E88" s="5">
        <v>5.0968</v>
      </c>
      <c r="F88" s="5">
        <v>4.8677999999999999</v>
      </c>
      <c r="G88" s="5">
        <v>4.6349999999999998</v>
      </c>
      <c r="H88" s="5">
        <v>4.6500000000000004</v>
      </c>
      <c r="I88" s="5">
        <v>0.28999999999999998</v>
      </c>
      <c r="J88" s="3"/>
      <c r="K88" t="s">
        <v>95</v>
      </c>
      <c r="L88" s="3" t="s">
        <v>378</v>
      </c>
      <c r="M88" s="3">
        <v>0.294334308117222</v>
      </c>
    </row>
    <row r="89" spans="1:13" x14ac:dyDescent="0.2">
      <c r="A89" s="4" t="s">
        <v>96</v>
      </c>
      <c r="B89" s="5">
        <v>4.0214999999999996</v>
      </c>
      <c r="C89" s="5">
        <v>4.1908000000000003</v>
      </c>
      <c r="D89" s="5">
        <v>4.0808</v>
      </c>
      <c r="E89" s="5">
        <v>4.6273999999999997</v>
      </c>
      <c r="F89" s="5">
        <v>4.8025000000000002</v>
      </c>
      <c r="G89" s="5">
        <v>4.6683000000000003</v>
      </c>
      <c r="H89" s="5">
        <v>4.4000000000000004</v>
      </c>
      <c r="I89" s="5">
        <v>0.31</v>
      </c>
      <c r="J89" s="3"/>
      <c r="K89" t="s">
        <v>96</v>
      </c>
      <c r="L89" s="3" t="s">
        <v>379</v>
      </c>
      <c r="M89" s="3">
        <v>0.29321814916767502</v>
      </c>
    </row>
    <row r="90" spans="1:13" x14ac:dyDescent="0.2">
      <c r="A90" s="4" t="s">
        <v>97</v>
      </c>
      <c r="B90" s="5">
        <v>4.1185</v>
      </c>
      <c r="C90" s="5">
        <v>5.4671000000000003</v>
      </c>
      <c r="D90" s="5">
        <v>5.0696000000000003</v>
      </c>
      <c r="E90" s="5">
        <v>6.0334000000000003</v>
      </c>
      <c r="F90" s="5">
        <v>6.4085000000000001</v>
      </c>
      <c r="G90" s="5">
        <v>6.0906000000000002</v>
      </c>
      <c r="H90" s="5">
        <v>5.53</v>
      </c>
      <c r="I90" s="5">
        <v>0.77</v>
      </c>
      <c r="J90" s="3"/>
      <c r="K90" t="s">
        <v>97</v>
      </c>
      <c r="L90" s="3" t="s">
        <v>380</v>
      </c>
      <c r="M90" s="3">
        <v>0.293092843058324</v>
      </c>
    </row>
    <row r="91" spans="1:13" x14ac:dyDescent="0.2">
      <c r="A91" s="4" t="s">
        <v>98</v>
      </c>
      <c r="B91" s="5">
        <v>3.8953000000000002</v>
      </c>
      <c r="C91" s="5">
        <v>4.7032999999999996</v>
      </c>
      <c r="D91" s="5">
        <v>4.5960000000000001</v>
      </c>
      <c r="E91" s="5">
        <v>4.3879000000000001</v>
      </c>
      <c r="F91" s="5">
        <v>5.0263999999999998</v>
      </c>
      <c r="G91" s="5">
        <v>5.1506999999999996</v>
      </c>
      <c r="H91" s="5">
        <v>4.63</v>
      </c>
      <c r="I91" s="5">
        <v>0.41</v>
      </c>
      <c r="J91" s="3"/>
      <c r="K91" t="s">
        <v>98</v>
      </c>
      <c r="L91" s="3" t="s">
        <v>381</v>
      </c>
      <c r="M91" s="3">
        <v>0.29285023735502702</v>
      </c>
    </row>
    <row r="92" spans="1:13" x14ac:dyDescent="0.2">
      <c r="A92" s="4" t="s">
        <v>99</v>
      </c>
      <c r="B92" s="5">
        <v>-8.1500000000000003E-2</v>
      </c>
      <c r="C92" s="5">
        <v>-3.4599999999999999E-2</v>
      </c>
      <c r="D92" s="5">
        <v>7.1599999999999997E-2</v>
      </c>
      <c r="E92" s="5">
        <v>3.4299999999999997E-2</v>
      </c>
      <c r="F92" s="5">
        <v>1.6999999999999999E-3</v>
      </c>
      <c r="G92" s="5">
        <v>-2.0999999999999999E-3</v>
      </c>
      <c r="H92" s="5">
        <v>0</v>
      </c>
      <c r="I92" s="5">
        <v>0</v>
      </c>
      <c r="J92" s="3"/>
      <c r="K92" t="s">
        <v>99</v>
      </c>
      <c r="L92" s="3" t="s">
        <v>382</v>
      </c>
      <c r="M92" s="3">
        <v>0.29285023735502702</v>
      </c>
    </row>
    <row r="93" spans="1:13" x14ac:dyDescent="0.2">
      <c r="A93" s="4" t="s">
        <v>100</v>
      </c>
      <c r="B93" s="5">
        <v>4.9305000000000003</v>
      </c>
      <c r="C93" s="5">
        <v>5.1913</v>
      </c>
      <c r="D93" s="5">
        <v>4.0393999999999997</v>
      </c>
      <c r="E93" s="5">
        <v>5.0468999999999999</v>
      </c>
      <c r="F93" s="5">
        <v>3.5285000000000002</v>
      </c>
      <c r="G93" s="5">
        <v>5.2435999999999998</v>
      </c>
      <c r="H93" s="5">
        <v>4.66</v>
      </c>
      <c r="I93" s="5">
        <v>0.65</v>
      </c>
      <c r="J93" s="3"/>
      <c r="K93" t="s">
        <v>100</v>
      </c>
      <c r="L93" s="3" t="s">
        <v>383</v>
      </c>
      <c r="M93" s="3">
        <v>0.29257966671576402</v>
      </c>
    </row>
    <row r="94" spans="1:13" x14ac:dyDescent="0.2">
      <c r="K94" s="2" t="s">
        <v>9</v>
      </c>
      <c r="L94" s="3" t="s">
        <v>192</v>
      </c>
    </row>
    <row r="95" spans="1:13" x14ac:dyDescent="0.2">
      <c r="K95" s="2" t="s">
        <v>9</v>
      </c>
      <c r="L95" s="3" t="s">
        <v>193</v>
      </c>
    </row>
    <row r="96" spans="1:13" x14ac:dyDescent="0.2">
      <c r="K96" s="2" t="s">
        <v>10</v>
      </c>
      <c r="L96" s="3" t="s">
        <v>194</v>
      </c>
    </row>
    <row r="97" spans="11:12" x14ac:dyDescent="0.2">
      <c r="K97" s="2" t="s">
        <v>10</v>
      </c>
      <c r="L97" s="3" t="s">
        <v>101</v>
      </c>
    </row>
    <row r="98" spans="11:12" x14ac:dyDescent="0.2">
      <c r="K98" s="2" t="s">
        <v>196</v>
      </c>
      <c r="L98" s="3" t="s">
        <v>197</v>
      </c>
    </row>
    <row r="99" spans="11:12" x14ac:dyDescent="0.2">
      <c r="K99" s="2" t="s">
        <v>196</v>
      </c>
      <c r="L99" s="3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7050-A3C9-364D-B0BB-4D097417D6E9}">
  <dimension ref="A1:M99"/>
  <sheetViews>
    <sheetView workbookViewId="0">
      <selection activeCell="H13" sqref="H13"/>
    </sheetView>
  </sheetViews>
  <sheetFormatPr baseColWidth="10" defaultColWidth="11" defaultRowHeight="16" x14ac:dyDescent="0.2"/>
  <cols>
    <col min="11" max="11" width="28.83203125" customWidth="1"/>
    <col min="12" max="12" width="32.1640625" customWidth="1"/>
    <col min="17" max="17" width="22.5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 t="s">
        <v>200</v>
      </c>
      <c r="L1" s="7" t="s">
        <v>202</v>
      </c>
      <c r="M1" t="s">
        <v>571</v>
      </c>
    </row>
    <row r="2" spans="1:13" x14ac:dyDescent="0.2">
      <c r="A2" s="4" t="s">
        <v>9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</v>
      </c>
      <c r="J2" s="5"/>
      <c r="K2" s="7"/>
      <c r="L2" s="7"/>
    </row>
    <row r="3" spans="1:13" x14ac:dyDescent="0.2">
      <c r="A3" s="4" t="s">
        <v>10</v>
      </c>
      <c r="B3" s="5">
        <v>4</v>
      </c>
      <c r="C3" s="5">
        <v>3.6192000000000002</v>
      </c>
      <c r="D3" s="5">
        <v>3.4013</v>
      </c>
      <c r="E3" s="5">
        <v>3.0350000000000001</v>
      </c>
      <c r="F3" s="5">
        <v>3.1678000000000002</v>
      </c>
      <c r="G3" s="5">
        <v>4.2899000000000003</v>
      </c>
      <c r="H3" s="5">
        <v>3.59</v>
      </c>
      <c r="I3" s="5">
        <v>0.44</v>
      </c>
      <c r="J3" s="5"/>
      <c r="K3" s="7"/>
      <c r="L3" s="7"/>
    </row>
    <row r="4" spans="1:13" x14ac:dyDescent="0.2">
      <c r="A4" s="4" t="s">
        <v>11</v>
      </c>
      <c r="B4" s="5">
        <v>5.8593999999999999</v>
      </c>
      <c r="C4" s="5">
        <v>6.2263999999999999</v>
      </c>
      <c r="D4" s="5">
        <v>5.1139000000000001</v>
      </c>
      <c r="E4" s="5">
        <v>3.6273</v>
      </c>
      <c r="F4" s="5">
        <v>4.6863000000000001</v>
      </c>
      <c r="G4" s="5">
        <v>9.9186999999999994</v>
      </c>
      <c r="H4" s="5">
        <v>5.91</v>
      </c>
      <c r="I4" s="5">
        <v>1.98</v>
      </c>
      <c r="J4" s="5"/>
      <c r="K4" s="7" t="s">
        <v>11</v>
      </c>
      <c r="L4" s="7" t="s">
        <v>203</v>
      </c>
      <c r="M4" s="3">
        <v>0.84541352000000003</v>
      </c>
    </row>
    <row r="5" spans="1:13" x14ac:dyDescent="0.2">
      <c r="A5" s="4" t="s">
        <v>12</v>
      </c>
      <c r="B5" s="5">
        <v>6.3811999999999998</v>
      </c>
      <c r="C5" s="5">
        <v>7.2108999999999996</v>
      </c>
      <c r="D5" s="5">
        <v>7.2469999999999999</v>
      </c>
      <c r="E5" s="5">
        <v>6.0308999999999999</v>
      </c>
      <c r="F5" s="5">
        <v>4.9128999999999996</v>
      </c>
      <c r="G5" s="5">
        <v>15.050800000000001</v>
      </c>
      <c r="H5" s="5">
        <v>7.81</v>
      </c>
      <c r="I5" s="5">
        <v>3.33</v>
      </c>
      <c r="J5" s="5"/>
      <c r="K5" s="7" t="s">
        <v>12</v>
      </c>
      <c r="L5" s="7" t="s">
        <v>204</v>
      </c>
      <c r="M5" s="3">
        <v>0.84019829499999998</v>
      </c>
    </row>
    <row r="6" spans="1:13" x14ac:dyDescent="0.2">
      <c r="A6" s="4" t="s">
        <v>13</v>
      </c>
      <c r="B6" s="5">
        <v>5.8807</v>
      </c>
      <c r="C6" s="5">
        <v>5.0720000000000001</v>
      </c>
      <c r="D6" s="5">
        <v>3.3952</v>
      </c>
      <c r="E6" s="5">
        <v>5.0438999999999998</v>
      </c>
      <c r="F6" s="5">
        <v>4.4119999999999999</v>
      </c>
      <c r="G6" s="5">
        <v>8.9831000000000003</v>
      </c>
      <c r="H6" s="5">
        <v>5.46</v>
      </c>
      <c r="I6" s="5">
        <v>1.75</v>
      </c>
      <c r="J6" s="5"/>
      <c r="K6" s="7" t="s">
        <v>13</v>
      </c>
      <c r="L6" s="7" t="s">
        <v>205</v>
      </c>
      <c r="M6" s="3">
        <v>0.83979026199999995</v>
      </c>
    </row>
    <row r="7" spans="1:13" x14ac:dyDescent="0.2">
      <c r="A7" s="4" t="s">
        <v>14</v>
      </c>
      <c r="B7" s="5">
        <v>5.8067000000000002</v>
      </c>
      <c r="C7" s="5">
        <v>4.4772999999999996</v>
      </c>
      <c r="D7" s="5">
        <v>4.0925000000000002</v>
      </c>
      <c r="E7" s="5">
        <v>3.9765000000000001</v>
      </c>
      <c r="F7" s="5">
        <v>4.6681999999999997</v>
      </c>
      <c r="G7" s="5">
        <v>9.6434999999999995</v>
      </c>
      <c r="H7" s="5">
        <v>5.44</v>
      </c>
      <c r="I7" s="5">
        <v>1.97</v>
      </c>
      <c r="J7" s="5"/>
      <c r="K7" s="7" t="s">
        <v>14</v>
      </c>
      <c r="L7" s="7" t="s">
        <v>206</v>
      </c>
      <c r="M7" s="3">
        <v>0.83917795399999995</v>
      </c>
    </row>
    <row r="8" spans="1:13" x14ac:dyDescent="0.2">
      <c r="A8" s="4" t="s">
        <v>15</v>
      </c>
      <c r="B8" s="5">
        <v>5.2641</v>
      </c>
      <c r="C8" s="5">
        <v>4.1704999999999997</v>
      </c>
      <c r="D8" s="5">
        <v>4.2516999999999996</v>
      </c>
      <c r="E8" s="5">
        <v>4.3346999999999998</v>
      </c>
      <c r="F8" s="5">
        <v>4.0445000000000002</v>
      </c>
      <c r="G8" s="5">
        <v>6.9686000000000003</v>
      </c>
      <c r="H8" s="5">
        <v>4.84</v>
      </c>
      <c r="I8" s="5">
        <v>1.03</v>
      </c>
      <c r="J8" s="5"/>
      <c r="K8" s="7" t="s">
        <v>15</v>
      </c>
      <c r="L8" s="7" t="s">
        <v>207</v>
      </c>
      <c r="M8" s="3">
        <v>0.83585028500000003</v>
      </c>
    </row>
    <row r="9" spans="1:13" x14ac:dyDescent="0.2">
      <c r="A9" s="4" t="s">
        <v>16</v>
      </c>
      <c r="B9" s="5">
        <v>8.4260999999999999</v>
      </c>
      <c r="C9" s="5">
        <v>7.7690999999999999</v>
      </c>
      <c r="D9" s="5">
        <v>3.8833000000000002</v>
      </c>
      <c r="E9" s="5">
        <v>5.6909000000000001</v>
      </c>
      <c r="F9" s="5">
        <v>5.9114000000000004</v>
      </c>
      <c r="G9" s="5">
        <v>9.1210000000000004</v>
      </c>
      <c r="H9" s="5">
        <v>6.8</v>
      </c>
      <c r="I9" s="5">
        <v>1.8</v>
      </c>
      <c r="J9" s="5"/>
      <c r="K9" s="7" t="s">
        <v>16</v>
      </c>
      <c r="L9" s="7" t="s">
        <v>208</v>
      </c>
      <c r="M9" s="3">
        <v>0.83465664500000003</v>
      </c>
    </row>
    <row r="10" spans="1:13" x14ac:dyDescent="0.2">
      <c r="A10" s="4" t="s">
        <v>17</v>
      </c>
      <c r="B10" s="5">
        <v>4.8929999999999998</v>
      </c>
      <c r="C10" s="5">
        <v>5.5654000000000003</v>
      </c>
      <c r="D10" s="5">
        <v>4.93</v>
      </c>
      <c r="E10" s="5">
        <v>2.6983999999999999</v>
      </c>
      <c r="F10" s="5">
        <v>4.5392000000000001</v>
      </c>
      <c r="G10" s="5">
        <v>9.0702999999999996</v>
      </c>
      <c r="H10" s="5">
        <v>5.28</v>
      </c>
      <c r="I10" s="5">
        <v>1.91</v>
      </c>
      <c r="J10" s="5"/>
      <c r="K10" s="7" t="s">
        <v>17</v>
      </c>
      <c r="L10" s="7" t="s">
        <v>209</v>
      </c>
      <c r="M10" s="3">
        <v>0.83404938200000001</v>
      </c>
    </row>
    <row r="11" spans="1:13" x14ac:dyDescent="0.2">
      <c r="A11" s="4" t="s">
        <v>18</v>
      </c>
      <c r="B11" s="5">
        <v>7.6464999999999996</v>
      </c>
      <c r="C11" s="5">
        <v>7.3003999999999998</v>
      </c>
      <c r="D11" s="5">
        <v>5.5202</v>
      </c>
      <c r="E11" s="5">
        <v>3.0562999999999998</v>
      </c>
      <c r="F11" s="5">
        <v>4.4924999999999997</v>
      </c>
      <c r="G11" s="5">
        <v>7.5655999999999999</v>
      </c>
      <c r="H11" s="5">
        <v>5.93</v>
      </c>
      <c r="I11" s="5">
        <v>1.73</v>
      </c>
      <c r="J11" s="5"/>
      <c r="K11" s="7" t="s">
        <v>18</v>
      </c>
      <c r="L11" s="7" t="s">
        <v>210</v>
      </c>
      <c r="M11" s="3">
        <v>0.83386613399999998</v>
      </c>
    </row>
    <row r="12" spans="1:13" x14ac:dyDescent="0.2">
      <c r="A12" s="4" t="s">
        <v>19</v>
      </c>
      <c r="B12" s="5">
        <v>9.4278999999999993</v>
      </c>
      <c r="C12" s="5">
        <v>6.2435999999999998</v>
      </c>
      <c r="D12" s="5">
        <v>4.6855000000000002</v>
      </c>
      <c r="E12" s="5">
        <v>3.2783000000000002</v>
      </c>
      <c r="F12" s="5">
        <v>5.7431000000000001</v>
      </c>
      <c r="G12" s="5">
        <v>12.3164</v>
      </c>
      <c r="H12" s="5">
        <v>6.95</v>
      </c>
      <c r="I12" s="5">
        <v>3.04</v>
      </c>
      <c r="J12" s="5"/>
      <c r="K12" s="7" t="s">
        <v>19</v>
      </c>
      <c r="L12" s="7" t="s">
        <v>211</v>
      </c>
      <c r="M12" s="3">
        <v>0.82612353000000005</v>
      </c>
    </row>
    <row r="13" spans="1:13" x14ac:dyDescent="0.2">
      <c r="A13" s="4" t="s">
        <v>20</v>
      </c>
      <c r="B13" s="5">
        <v>2.1549</v>
      </c>
      <c r="C13" s="5">
        <v>1.1355999999999999</v>
      </c>
      <c r="D13" s="5">
        <v>0.84560000000000002</v>
      </c>
      <c r="E13" s="5">
        <v>0.20369999999999999</v>
      </c>
      <c r="F13" s="5">
        <v>0.2215</v>
      </c>
      <c r="G13" s="5">
        <v>0.45369999999999999</v>
      </c>
      <c r="H13" s="5">
        <v>0.84</v>
      </c>
      <c r="I13" s="5">
        <v>0.68</v>
      </c>
      <c r="J13" s="5"/>
      <c r="K13" s="7" t="s">
        <v>20</v>
      </c>
      <c r="L13" s="7" t="s">
        <v>212</v>
      </c>
      <c r="M13" s="3">
        <v>0.82464496799999998</v>
      </c>
    </row>
    <row r="14" spans="1:13" x14ac:dyDescent="0.2">
      <c r="A14" s="4" t="s">
        <v>21</v>
      </c>
      <c r="B14" s="5">
        <v>3.2827999999999999</v>
      </c>
      <c r="C14" s="5">
        <v>2.3725999999999998</v>
      </c>
      <c r="D14" s="5">
        <v>1.0648</v>
      </c>
      <c r="E14" s="5">
        <v>0.99570000000000003</v>
      </c>
      <c r="F14" s="5">
        <v>1.2032</v>
      </c>
      <c r="G14" s="5">
        <v>2.2616999999999998</v>
      </c>
      <c r="H14" s="5">
        <v>1.86</v>
      </c>
      <c r="I14" s="5">
        <v>0.84</v>
      </c>
      <c r="J14" s="5"/>
      <c r="K14" s="7" t="s">
        <v>21</v>
      </c>
      <c r="L14" s="7" t="s">
        <v>213</v>
      </c>
      <c r="M14" s="3">
        <v>0.82423693399999998</v>
      </c>
    </row>
    <row r="15" spans="1:13" x14ac:dyDescent="0.2">
      <c r="A15" s="4" t="s">
        <v>22</v>
      </c>
      <c r="B15" s="5">
        <v>3.1019000000000001</v>
      </c>
      <c r="C15" s="5">
        <v>2.0316999999999998</v>
      </c>
      <c r="D15" s="5">
        <v>0.99509999999999998</v>
      </c>
      <c r="E15" s="5">
        <v>0.96740000000000004</v>
      </c>
      <c r="F15" s="5">
        <v>1.0875999999999999</v>
      </c>
      <c r="G15" s="5">
        <v>2.4859</v>
      </c>
      <c r="H15" s="5">
        <v>1.78</v>
      </c>
      <c r="I15" s="5">
        <v>0.82</v>
      </c>
      <c r="J15" s="5"/>
      <c r="K15" s="7" t="s">
        <v>22</v>
      </c>
      <c r="L15" s="7" t="s">
        <v>214</v>
      </c>
      <c r="M15" s="3">
        <v>0.82362462700000005</v>
      </c>
    </row>
    <row r="16" spans="1:13" x14ac:dyDescent="0.2">
      <c r="A16" s="4" t="s">
        <v>23</v>
      </c>
      <c r="B16" s="5">
        <v>1.6492</v>
      </c>
      <c r="C16" s="5">
        <v>0.92930000000000001</v>
      </c>
      <c r="D16" s="5">
        <v>1.5301</v>
      </c>
      <c r="E16" s="5">
        <v>1.9855</v>
      </c>
      <c r="F16" s="5">
        <v>0.76580000000000004</v>
      </c>
      <c r="G16" s="5">
        <v>1.3357000000000001</v>
      </c>
      <c r="H16" s="5">
        <v>1.37</v>
      </c>
      <c r="I16" s="5">
        <v>0.42</v>
      </c>
      <c r="J16" s="5"/>
      <c r="K16" s="7" t="s">
        <v>23</v>
      </c>
      <c r="L16" s="7" t="s">
        <v>215</v>
      </c>
      <c r="M16" s="3">
        <v>0.82029695700000005</v>
      </c>
    </row>
    <row r="17" spans="1:13" x14ac:dyDescent="0.2">
      <c r="A17" s="4" t="s">
        <v>24</v>
      </c>
      <c r="B17" s="5">
        <v>3.6099000000000001</v>
      </c>
      <c r="C17" s="5">
        <v>3.9864000000000002</v>
      </c>
      <c r="D17" s="5">
        <v>4.0579999999999998</v>
      </c>
      <c r="E17" s="5">
        <v>4.1269</v>
      </c>
      <c r="F17" s="5">
        <v>3.9302000000000001</v>
      </c>
      <c r="G17" s="5">
        <v>4.4074999999999998</v>
      </c>
      <c r="H17" s="5">
        <v>4.0199999999999996</v>
      </c>
      <c r="I17" s="5">
        <v>0.24</v>
      </c>
      <c r="J17" s="5"/>
      <c r="K17" s="7" t="s">
        <v>24</v>
      </c>
      <c r="L17" s="7" t="s">
        <v>216</v>
      </c>
      <c r="M17" s="3">
        <v>0.78541291000000002</v>
      </c>
    </row>
    <row r="18" spans="1:13" x14ac:dyDescent="0.2">
      <c r="A18" s="4" t="s">
        <v>25</v>
      </c>
      <c r="B18" s="5">
        <v>8.3582999999999998</v>
      </c>
      <c r="C18" s="5">
        <v>9.0394000000000005</v>
      </c>
      <c r="D18" s="5">
        <v>7.8925999999999998</v>
      </c>
      <c r="E18" s="5">
        <v>8.1218000000000004</v>
      </c>
      <c r="F18" s="5">
        <v>5.5647000000000002</v>
      </c>
      <c r="G18" s="5">
        <v>15.544700000000001</v>
      </c>
      <c r="H18" s="5">
        <v>9.09</v>
      </c>
      <c r="I18" s="5">
        <v>3.08</v>
      </c>
      <c r="J18" s="5"/>
      <c r="K18" s="7" t="s">
        <v>25</v>
      </c>
      <c r="L18" s="7" t="s">
        <v>217</v>
      </c>
      <c r="M18" s="3">
        <v>0.81910033599999998</v>
      </c>
    </row>
    <row r="19" spans="1:13" x14ac:dyDescent="0.2">
      <c r="A19" s="4" t="s">
        <v>26</v>
      </c>
      <c r="B19" s="5">
        <v>5.6387</v>
      </c>
      <c r="C19" s="5">
        <v>4.5749000000000004</v>
      </c>
      <c r="D19" s="5">
        <v>4.7355999999999998</v>
      </c>
      <c r="E19" s="5">
        <v>4.0122999999999998</v>
      </c>
      <c r="F19" s="5">
        <v>3.3811</v>
      </c>
      <c r="G19" s="5">
        <v>7.9196999999999997</v>
      </c>
      <c r="H19" s="5">
        <v>5.04</v>
      </c>
      <c r="I19" s="5">
        <v>1.46</v>
      </c>
      <c r="J19" s="5"/>
      <c r="K19" s="7" t="s">
        <v>26</v>
      </c>
      <c r="L19" s="7" t="s">
        <v>218</v>
      </c>
      <c r="M19" s="3">
        <v>0.81902171000000001</v>
      </c>
    </row>
    <row r="20" spans="1:13" x14ac:dyDescent="0.2">
      <c r="A20" s="4" t="s">
        <v>27</v>
      </c>
      <c r="B20" s="5">
        <v>6.0164</v>
      </c>
      <c r="C20" s="5">
        <v>4.2041000000000004</v>
      </c>
      <c r="D20" s="5">
        <v>5.0388999999999999</v>
      </c>
      <c r="E20" s="5">
        <v>3.4226000000000001</v>
      </c>
      <c r="F20" s="5">
        <v>3.3984000000000001</v>
      </c>
      <c r="G20" s="5">
        <v>7.5338000000000003</v>
      </c>
      <c r="H20" s="5">
        <v>4.9400000000000004</v>
      </c>
      <c r="I20" s="5">
        <v>1.48</v>
      </c>
      <c r="J20" s="5"/>
      <c r="K20" s="7" t="s">
        <v>27</v>
      </c>
      <c r="L20" s="7" t="s">
        <v>219</v>
      </c>
      <c r="M20" s="3">
        <v>0.81840940200000001</v>
      </c>
    </row>
    <row r="21" spans="1:13" x14ac:dyDescent="0.2">
      <c r="A21" s="4" t="s">
        <v>28</v>
      </c>
      <c r="B21" s="5">
        <v>1.6551</v>
      </c>
      <c r="C21" s="5">
        <v>1.1307</v>
      </c>
      <c r="D21" s="5">
        <v>0.92</v>
      </c>
      <c r="E21" s="5">
        <v>0.96909999999999996</v>
      </c>
      <c r="F21" s="5">
        <v>0.22309999999999999</v>
      </c>
      <c r="G21" s="5">
        <v>0.92679999999999996</v>
      </c>
      <c r="H21" s="5">
        <v>0.97</v>
      </c>
      <c r="I21" s="5">
        <v>0.42</v>
      </c>
      <c r="J21" s="5"/>
      <c r="K21" s="7" t="s">
        <v>28</v>
      </c>
      <c r="L21" s="7" t="s">
        <v>220</v>
      </c>
      <c r="M21" s="3">
        <v>0.81831280699999998</v>
      </c>
    </row>
    <row r="22" spans="1:13" x14ac:dyDescent="0.2">
      <c r="A22" s="4" t="s">
        <v>29</v>
      </c>
      <c r="B22" s="5">
        <v>5.4836</v>
      </c>
      <c r="C22" s="5">
        <v>3.3262</v>
      </c>
      <c r="D22" s="5">
        <v>2.8610000000000002</v>
      </c>
      <c r="E22" s="5">
        <v>2.4975000000000001</v>
      </c>
      <c r="F22" s="5">
        <v>2.8971</v>
      </c>
      <c r="G22" s="5">
        <v>5.4893000000000001</v>
      </c>
      <c r="H22" s="5">
        <v>3.76</v>
      </c>
      <c r="I22" s="5">
        <v>1.24</v>
      </c>
      <c r="J22" s="5"/>
      <c r="K22" s="7" t="s">
        <v>29</v>
      </c>
      <c r="L22" s="7" t="s">
        <v>221</v>
      </c>
      <c r="M22" s="3">
        <v>0.81800136800000001</v>
      </c>
    </row>
    <row r="23" spans="1:13" x14ac:dyDescent="0.2">
      <c r="A23" s="4" t="s">
        <v>30</v>
      </c>
      <c r="B23" s="5">
        <v>5.9268999999999998</v>
      </c>
      <c r="C23" s="5">
        <v>4.1413000000000002</v>
      </c>
      <c r="D23" s="5">
        <v>3.4232999999999998</v>
      </c>
      <c r="E23" s="5">
        <v>2.0364</v>
      </c>
      <c r="F23" s="5">
        <v>3.3965999999999998</v>
      </c>
      <c r="G23" s="5">
        <v>7.7049000000000003</v>
      </c>
      <c r="H23" s="5">
        <v>4.4400000000000004</v>
      </c>
      <c r="I23" s="5">
        <v>1.86</v>
      </c>
      <c r="J23" s="5"/>
      <c r="K23" s="7" t="s">
        <v>30</v>
      </c>
      <c r="L23" s="7" t="s">
        <v>222</v>
      </c>
      <c r="M23" s="3">
        <v>0.815081732</v>
      </c>
    </row>
    <row r="24" spans="1:13" x14ac:dyDescent="0.2">
      <c r="A24" s="4" t="s">
        <v>31</v>
      </c>
      <c r="B24" s="5">
        <v>5.3578999999999999</v>
      </c>
      <c r="C24" s="5">
        <v>3.7835000000000001</v>
      </c>
      <c r="D24" s="5">
        <v>2.7829000000000002</v>
      </c>
      <c r="E24" s="5">
        <v>3.2362000000000002</v>
      </c>
      <c r="F24" s="5">
        <v>4.0179</v>
      </c>
      <c r="G24" s="5">
        <v>5.3895999999999997</v>
      </c>
      <c r="H24" s="5">
        <v>4.09</v>
      </c>
      <c r="I24" s="5">
        <v>0.99</v>
      </c>
      <c r="J24" s="5"/>
      <c r="K24" s="7" t="s">
        <v>31</v>
      </c>
      <c r="L24" s="7" t="s">
        <v>223</v>
      </c>
      <c r="M24" s="3">
        <v>0.81467369899999997</v>
      </c>
    </row>
    <row r="25" spans="1:13" x14ac:dyDescent="0.2">
      <c r="A25" s="4" t="s">
        <v>32</v>
      </c>
      <c r="B25" s="5">
        <v>3.1869000000000001</v>
      </c>
      <c r="C25" s="5">
        <v>3.1147</v>
      </c>
      <c r="D25" s="5">
        <v>2.3174000000000001</v>
      </c>
      <c r="E25" s="5">
        <v>2.7688999999999999</v>
      </c>
      <c r="F25" s="5">
        <v>2.4786000000000001</v>
      </c>
      <c r="G25" s="5">
        <v>4.6590999999999996</v>
      </c>
      <c r="H25" s="5">
        <v>3.09</v>
      </c>
      <c r="I25" s="5">
        <v>0.77</v>
      </c>
      <c r="J25" s="5"/>
      <c r="K25" s="7" t="s">
        <v>32</v>
      </c>
      <c r="L25" s="7" t="s">
        <v>224</v>
      </c>
      <c r="M25" s="3">
        <v>0.81406139099999997</v>
      </c>
    </row>
    <row r="26" spans="1:13" x14ac:dyDescent="0.2">
      <c r="A26" s="4" t="s">
        <v>33</v>
      </c>
      <c r="B26" s="5">
        <v>8.0008999999999997</v>
      </c>
      <c r="C26" s="5">
        <v>7.1281999999999996</v>
      </c>
      <c r="D26" s="5">
        <v>4.2031999999999998</v>
      </c>
      <c r="E26" s="5">
        <v>2.8980999999999999</v>
      </c>
      <c r="F26" s="5">
        <v>4.8636999999999997</v>
      </c>
      <c r="G26" s="5">
        <v>10.8916</v>
      </c>
      <c r="H26" s="5">
        <v>6.33</v>
      </c>
      <c r="I26" s="5">
        <v>2.67</v>
      </c>
      <c r="J26" s="5"/>
      <c r="K26" s="7" t="s">
        <v>33</v>
      </c>
      <c r="L26" s="7" t="s">
        <v>225</v>
      </c>
      <c r="M26" s="3">
        <v>0.81405724400000001</v>
      </c>
    </row>
    <row r="27" spans="1:13" x14ac:dyDescent="0.2">
      <c r="A27" s="4" t="s">
        <v>34</v>
      </c>
      <c r="B27" s="5">
        <v>8.5152000000000001</v>
      </c>
      <c r="C27" s="5">
        <v>6.8594999999999997</v>
      </c>
      <c r="D27" s="5">
        <v>5.1871999999999998</v>
      </c>
      <c r="E27" s="5">
        <v>4.0632999999999999</v>
      </c>
      <c r="F27" s="5">
        <v>6.7305999999999999</v>
      </c>
      <c r="G27" s="5">
        <v>7.4234</v>
      </c>
      <c r="H27" s="5">
        <v>6.46</v>
      </c>
      <c r="I27" s="5">
        <v>1.46</v>
      </c>
      <c r="J27" s="5"/>
      <c r="K27" s="7" t="s">
        <v>34</v>
      </c>
      <c r="L27" s="7" t="s">
        <v>226</v>
      </c>
      <c r="M27" s="3">
        <v>0.81388809299999998</v>
      </c>
    </row>
    <row r="28" spans="1:13" x14ac:dyDescent="0.2">
      <c r="A28" s="4" t="s">
        <v>35</v>
      </c>
      <c r="B28" s="5">
        <v>5.7565</v>
      </c>
      <c r="C28" s="5">
        <v>4.0305999999999997</v>
      </c>
      <c r="D28" s="5">
        <v>1.9734</v>
      </c>
      <c r="E28" s="5">
        <v>3.1120000000000001</v>
      </c>
      <c r="F28" s="5">
        <v>2.9906000000000001</v>
      </c>
      <c r="G28" s="5">
        <v>8.4901999999999997</v>
      </c>
      <c r="H28" s="5">
        <v>4.3899999999999997</v>
      </c>
      <c r="I28" s="5">
        <v>2.17</v>
      </c>
      <c r="J28" s="5"/>
      <c r="K28" s="7" t="s">
        <v>35</v>
      </c>
      <c r="L28" s="7" t="s">
        <v>227</v>
      </c>
      <c r="M28" s="3">
        <v>0.81348005899999998</v>
      </c>
    </row>
    <row r="29" spans="1:13" x14ac:dyDescent="0.2">
      <c r="A29" s="4" t="s">
        <v>36</v>
      </c>
      <c r="B29" s="5">
        <v>5.1273999999999997</v>
      </c>
      <c r="C29" s="5">
        <v>3.1461999999999999</v>
      </c>
      <c r="D29" s="5">
        <v>4.6516000000000002</v>
      </c>
      <c r="E29" s="5">
        <v>3.4794999999999998</v>
      </c>
      <c r="F29" s="5">
        <v>2.5299</v>
      </c>
      <c r="G29" s="5">
        <v>5.5159000000000002</v>
      </c>
      <c r="H29" s="5">
        <v>4.08</v>
      </c>
      <c r="I29" s="5">
        <v>1.0900000000000001</v>
      </c>
      <c r="J29" s="5"/>
      <c r="K29" s="7" t="s">
        <v>36</v>
      </c>
      <c r="L29" s="7" t="s">
        <v>228</v>
      </c>
      <c r="M29" s="3">
        <v>0.81328082899999998</v>
      </c>
    </row>
    <row r="30" spans="1:13" x14ac:dyDescent="0.2">
      <c r="A30" s="4" t="s">
        <v>37</v>
      </c>
      <c r="B30" s="5">
        <v>7.1939000000000002</v>
      </c>
      <c r="C30" s="5">
        <v>4.7389999999999999</v>
      </c>
      <c r="D30" s="5">
        <v>5.2290999999999999</v>
      </c>
      <c r="E30" s="5">
        <v>3.7313999999999998</v>
      </c>
      <c r="F30" s="5">
        <v>3.2864</v>
      </c>
      <c r="G30" s="5">
        <v>5.8379000000000003</v>
      </c>
      <c r="H30" s="5">
        <v>5</v>
      </c>
      <c r="I30" s="5">
        <v>1.3</v>
      </c>
      <c r="J30" s="5"/>
      <c r="K30" s="7" t="s">
        <v>37</v>
      </c>
      <c r="L30" s="7" t="s">
        <v>229</v>
      </c>
      <c r="M30" s="3">
        <v>0.81309758200000004</v>
      </c>
    </row>
    <row r="31" spans="1:13" x14ac:dyDescent="0.2">
      <c r="A31" s="4" t="s">
        <v>38</v>
      </c>
      <c r="B31" s="5">
        <v>4.3217999999999996</v>
      </c>
      <c r="C31" s="5">
        <v>3.5590999999999999</v>
      </c>
      <c r="D31" s="5">
        <v>2.3388</v>
      </c>
      <c r="E31" s="5">
        <v>2.1602000000000001</v>
      </c>
      <c r="F31" s="5">
        <v>2.1915</v>
      </c>
      <c r="G31" s="5">
        <v>5.7533000000000003</v>
      </c>
      <c r="H31" s="5">
        <v>3.39</v>
      </c>
      <c r="I31" s="5">
        <v>1.33</v>
      </c>
      <c r="J31" s="5"/>
      <c r="K31" s="7" t="s">
        <v>38</v>
      </c>
      <c r="L31" s="7" t="s">
        <v>230</v>
      </c>
      <c r="M31" s="3">
        <v>0.81287279599999995</v>
      </c>
    </row>
    <row r="32" spans="1:13" x14ac:dyDescent="0.2">
      <c r="A32" s="4" t="s">
        <v>39</v>
      </c>
      <c r="B32" s="5">
        <v>5.8193999999999999</v>
      </c>
      <c r="C32" s="5">
        <v>3.5634999999999999</v>
      </c>
      <c r="D32" s="5">
        <v>2.4533999999999998</v>
      </c>
      <c r="E32" s="5">
        <v>2.4335</v>
      </c>
      <c r="F32" s="5">
        <v>3.0920000000000001</v>
      </c>
      <c r="G32" s="5">
        <v>5.8413000000000004</v>
      </c>
      <c r="H32" s="5">
        <v>3.87</v>
      </c>
      <c r="I32" s="5">
        <v>1.44</v>
      </c>
      <c r="J32" s="5"/>
      <c r="K32" s="7" t="s">
        <v>39</v>
      </c>
      <c r="L32" s="7" t="s">
        <v>231</v>
      </c>
      <c r="M32" s="3">
        <v>0.81286775099999997</v>
      </c>
    </row>
    <row r="33" spans="1:13" x14ac:dyDescent="0.2">
      <c r="A33" s="4" t="s">
        <v>40</v>
      </c>
      <c r="B33" s="5">
        <v>4.3959000000000001</v>
      </c>
      <c r="C33" s="5">
        <v>3.7841</v>
      </c>
      <c r="D33" s="5">
        <v>4.1044</v>
      </c>
      <c r="E33" s="5">
        <v>3.6461999999999999</v>
      </c>
      <c r="F33" s="5">
        <v>2.9609000000000001</v>
      </c>
      <c r="G33" s="5">
        <v>4.2169999999999996</v>
      </c>
      <c r="H33" s="5">
        <v>3.85</v>
      </c>
      <c r="I33" s="5">
        <v>0.47</v>
      </c>
      <c r="J33" s="5"/>
      <c r="K33" s="7" t="s">
        <v>40</v>
      </c>
      <c r="L33" s="7" t="s">
        <v>232</v>
      </c>
      <c r="M33" s="3">
        <v>0.81268954800000004</v>
      </c>
    </row>
    <row r="34" spans="1:13" x14ac:dyDescent="0.2">
      <c r="A34" s="4" t="s">
        <v>41</v>
      </c>
      <c r="B34" s="5">
        <v>5.8550000000000004</v>
      </c>
      <c r="C34" s="5">
        <v>4.8216000000000001</v>
      </c>
      <c r="D34" s="5">
        <v>3.8961999999999999</v>
      </c>
      <c r="E34" s="5">
        <v>3.7246000000000001</v>
      </c>
      <c r="F34" s="5">
        <v>3.0750000000000002</v>
      </c>
      <c r="G34" s="5">
        <v>4.9050000000000002</v>
      </c>
      <c r="H34" s="5">
        <v>4.38</v>
      </c>
      <c r="I34" s="5">
        <v>0.91</v>
      </c>
      <c r="J34" s="5"/>
      <c r="K34" s="7" t="s">
        <v>41</v>
      </c>
      <c r="L34" s="7" t="s">
        <v>233</v>
      </c>
      <c r="M34" s="3">
        <v>0.81251362400000005</v>
      </c>
    </row>
    <row r="35" spans="1:13" x14ac:dyDescent="0.2">
      <c r="A35" s="4" t="s">
        <v>42</v>
      </c>
      <c r="B35" s="5">
        <v>3.9630000000000001</v>
      </c>
      <c r="C35" s="5">
        <v>2.7269000000000001</v>
      </c>
      <c r="D35" s="5">
        <v>3.3279999999999998</v>
      </c>
      <c r="E35" s="5">
        <v>2.2307000000000001</v>
      </c>
      <c r="F35" s="5">
        <v>2.9437000000000002</v>
      </c>
      <c r="G35" s="5">
        <v>2.6968000000000001</v>
      </c>
      <c r="H35" s="5">
        <v>2.98</v>
      </c>
      <c r="I35" s="5">
        <v>0.55000000000000004</v>
      </c>
      <c r="J35" s="5"/>
      <c r="K35" s="7" t="s">
        <v>42</v>
      </c>
      <c r="L35" s="7" t="s">
        <v>234</v>
      </c>
      <c r="M35" s="3">
        <v>0.81226048799999995</v>
      </c>
    </row>
    <row r="36" spans="1:13" x14ac:dyDescent="0.2">
      <c r="A36" s="4" t="s">
        <v>43</v>
      </c>
      <c r="B36" s="5">
        <v>4.5965999999999996</v>
      </c>
      <c r="C36" s="5">
        <v>3.899</v>
      </c>
      <c r="D36" s="5">
        <v>3.4438</v>
      </c>
      <c r="E36" s="5">
        <v>3.1839</v>
      </c>
      <c r="F36" s="5">
        <v>2.8536000000000001</v>
      </c>
      <c r="G36" s="5">
        <v>4.3026999999999997</v>
      </c>
      <c r="H36" s="5">
        <v>3.71</v>
      </c>
      <c r="I36" s="5">
        <v>0.61</v>
      </c>
      <c r="J36" s="5"/>
      <c r="K36" s="7" t="s">
        <v>43</v>
      </c>
      <c r="L36" s="7" t="s">
        <v>235</v>
      </c>
      <c r="M36" s="3">
        <v>0.81207724100000001</v>
      </c>
    </row>
    <row r="37" spans="1:13" x14ac:dyDescent="0.2">
      <c r="A37" s="4" t="s">
        <v>44</v>
      </c>
      <c r="B37" s="5">
        <v>4.6448</v>
      </c>
      <c r="C37" s="5">
        <v>5.9423000000000004</v>
      </c>
      <c r="D37" s="5">
        <v>3.2669000000000001</v>
      </c>
      <c r="E37" s="5">
        <v>3.0268999999999999</v>
      </c>
      <c r="F37" s="5">
        <v>3.7233999999999998</v>
      </c>
      <c r="G37" s="5">
        <v>5.2276999999999996</v>
      </c>
      <c r="H37" s="5">
        <v>4.3099999999999996</v>
      </c>
      <c r="I37" s="5">
        <v>1.06</v>
      </c>
      <c r="J37" s="5"/>
      <c r="K37" s="7" t="s">
        <v>44</v>
      </c>
      <c r="L37" s="7" t="s">
        <v>236</v>
      </c>
      <c r="M37" s="3">
        <v>0.81113062700000005</v>
      </c>
    </row>
    <row r="38" spans="1:13" x14ac:dyDescent="0.2">
      <c r="A38" s="4" t="s">
        <v>45</v>
      </c>
      <c r="B38" s="5">
        <v>9.7500000000000003E-2</v>
      </c>
      <c r="C38" s="5">
        <v>0.1057</v>
      </c>
      <c r="D38" s="5">
        <v>-6.8900000000000003E-2</v>
      </c>
      <c r="E38" s="5">
        <v>1.89E-2</v>
      </c>
      <c r="F38" s="5">
        <v>-7.9600000000000004E-2</v>
      </c>
      <c r="G38" s="5">
        <v>4.1999999999999997E-3</v>
      </c>
      <c r="H38" s="5">
        <v>0</v>
      </c>
      <c r="I38" s="5">
        <v>0</v>
      </c>
      <c r="J38" s="5"/>
      <c r="K38" s="7" t="s">
        <v>45</v>
      </c>
      <c r="L38" s="7" t="s">
        <v>237</v>
      </c>
      <c r="M38" s="3">
        <v>0.81057020199999996</v>
      </c>
    </row>
    <row r="39" spans="1:13" x14ac:dyDescent="0.2">
      <c r="A39" s="4" t="s">
        <v>46</v>
      </c>
      <c r="B39" s="5">
        <v>7.8529</v>
      </c>
      <c r="C39" s="5">
        <v>6.3741000000000003</v>
      </c>
      <c r="D39" s="5">
        <v>4.2096999999999998</v>
      </c>
      <c r="E39" s="5">
        <v>2.6945999999999999</v>
      </c>
      <c r="F39" s="5">
        <v>3.6787000000000001</v>
      </c>
      <c r="G39" s="5">
        <v>7.1172000000000004</v>
      </c>
      <c r="H39" s="5">
        <v>5.32</v>
      </c>
      <c r="I39" s="5">
        <v>1.9</v>
      </c>
      <c r="J39" s="5"/>
      <c r="K39" s="7" t="s">
        <v>46</v>
      </c>
      <c r="L39" s="7" t="s">
        <v>238</v>
      </c>
      <c r="M39" s="3">
        <v>0.80954008200000005</v>
      </c>
    </row>
    <row r="40" spans="1:13" x14ac:dyDescent="0.2">
      <c r="A40" s="4" t="s">
        <v>47</v>
      </c>
      <c r="B40" s="5">
        <v>1.5082</v>
      </c>
      <c r="C40" s="5">
        <v>0.85289999999999999</v>
      </c>
      <c r="D40" s="5">
        <v>1.3113999999999999</v>
      </c>
      <c r="E40" s="5">
        <v>1.2459</v>
      </c>
      <c r="F40" s="5">
        <v>0.44090000000000001</v>
      </c>
      <c r="G40" s="5">
        <v>0.76200000000000001</v>
      </c>
      <c r="H40" s="5">
        <v>1.02</v>
      </c>
      <c r="I40" s="5">
        <v>0.37</v>
      </c>
      <c r="J40" s="5"/>
      <c r="K40" s="7" t="s">
        <v>47</v>
      </c>
      <c r="L40" s="7" t="s">
        <v>239</v>
      </c>
      <c r="M40" s="3">
        <v>0.78538595</v>
      </c>
    </row>
    <row r="41" spans="1:13" x14ac:dyDescent="0.2">
      <c r="A41" s="4" t="s">
        <v>48</v>
      </c>
      <c r="B41" s="5">
        <v>-0.1925</v>
      </c>
      <c r="C41" s="5">
        <v>-0.1537</v>
      </c>
      <c r="D41" s="5">
        <v>-7.2499999999999995E-2</v>
      </c>
      <c r="E41" s="5">
        <v>4.4900000000000002E-2</v>
      </c>
      <c r="F41" s="5">
        <v>-8.2000000000000007E-3</v>
      </c>
      <c r="G41" s="5">
        <v>-0.14410000000000001</v>
      </c>
      <c r="H41" s="5">
        <v>0</v>
      </c>
      <c r="I41" s="5">
        <v>0</v>
      </c>
      <c r="J41" s="5"/>
      <c r="K41" s="7" t="s">
        <v>48</v>
      </c>
      <c r="L41" s="7" t="s">
        <v>240</v>
      </c>
      <c r="M41" s="3">
        <v>0.78494518099999999</v>
      </c>
    </row>
    <row r="42" spans="1:13" x14ac:dyDescent="0.2">
      <c r="A42" s="4" t="s">
        <v>49</v>
      </c>
      <c r="B42" s="5">
        <v>6.7263999999999999</v>
      </c>
      <c r="C42" s="5">
        <v>3.3254000000000001</v>
      </c>
      <c r="D42" s="5">
        <v>1.3848</v>
      </c>
      <c r="E42" s="5">
        <v>2.1436000000000002</v>
      </c>
      <c r="F42" s="5">
        <v>2.0709</v>
      </c>
      <c r="G42" s="5">
        <v>7.2887000000000004</v>
      </c>
      <c r="H42" s="5">
        <v>3.82</v>
      </c>
      <c r="I42" s="5">
        <v>2.33</v>
      </c>
      <c r="J42" s="5"/>
      <c r="K42" s="7" t="s">
        <v>49</v>
      </c>
      <c r="L42" s="7" t="s">
        <v>241</v>
      </c>
      <c r="M42" s="3">
        <v>0.78482042399999996</v>
      </c>
    </row>
    <row r="43" spans="1:13" x14ac:dyDescent="0.2">
      <c r="A43" s="4" t="s">
        <v>50</v>
      </c>
      <c r="B43" s="5">
        <v>7.3642000000000003</v>
      </c>
      <c r="C43" s="5">
        <v>4.3297999999999996</v>
      </c>
      <c r="D43" s="5">
        <v>3.4287000000000001</v>
      </c>
      <c r="E43" s="5">
        <v>3.9013</v>
      </c>
      <c r="F43" s="5">
        <v>3.0022000000000002</v>
      </c>
      <c r="G43" s="5">
        <v>4.5728999999999997</v>
      </c>
      <c r="H43" s="5">
        <v>4.43</v>
      </c>
      <c r="I43" s="5">
        <v>1.41</v>
      </c>
      <c r="J43" s="5"/>
      <c r="K43" s="7" t="s">
        <v>50</v>
      </c>
      <c r="L43" s="7" t="s">
        <v>242</v>
      </c>
      <c r="M43" s="3">
        <v>0.807555931</v>
      </c>
    </row>
    <row r="44" spans="1:13" x14ac:dyDescent="0.2">
      <c r="A44" s="4" t="s">
        <v>51</v>
      </c>
      <c r="B44" s="5">
        <v>7.4943999999999997</v>
      </c>
      <c r="C44" s="5">
        <v>5.4631999999999996</v>
      </c>
      <c r="D44" s="5">
        <v>3.1657000000000002</v>
      </c>
      <c r="E44" s="5">
        <v>4.2138999999999998</v>
      </c>
      <c r="F44" s="5">
        <v>3.0099</v>
      </c>
      <c r="G44" s="5">
        <v>6.0438000000000001</v>
      </c>
      <c r="H44" s="5">
        <v>4.9000000000000004</v>
      </c>
      <c r="I44" s="5">
        <v>1.6</v>
      </c>
      <c r="J44" s="5"/>
      <c r="K44" s="7" t="s">
        <v>51</v>
      </c>
      <c r="L44" s="7" t="s">
        <v>243</v>
      </c>
      <c r="M44" s="3">
        <v>0.78453714799999996</v>
      </c>
    </row>
    <row r="45" spans="1:13" x14ac:dyDescent="0.2">
      <c r="A45" s="4" t="s">
        <v>52</v>
      </c>
      <c r="B45" s="5">
        <v>6.6694000000000004</v>
      </c>
      <c r="C45" s="5">
        <v>5.4092000000000002</v>
      </c>
      <c r="D45" s="5">
        <v>5.9471999999999996</v>
      </c>
      <c r="E45" s="5">
        <v>5.1380999999999997</v>
      </c>
      <c r="F45" s="5">
        <v>4.2523999999999997</v>
      </c>
      <c r="G45" s="5">
        <v>7.4924999999999997</v>
      </c>
      <c r="H45" s="5">
        <v>5.82</v>
      </c>
      <c r="I45" s="5">
        <v>1.05</v>
      </c>
      <c r="J45" s="5"/>
      <c r="K45" s="7" t="s">
        <v>52</v>
      </c>
      <c r="L45" s="7" t="s">
        <v>244</v>
      </c>
      <c r="M45" s="3">
        <v>0.80571373400000001</v>
      </c>
    </row>
    <row r="46" spans="1:13" x14ac:dyDescent="0.2">
      <c r="A46" s="4" t="s">
        <v>53</v>
      </c>
      <c r="B46" s="5">
        <v>5.1497000000000002</v>
      </c>
      <c r="C46" s="5">
        <v>3.7711000000000001</v>
      </c>
      <c r="D46" s="5">
        <v>3.7589000000000001</v>
      </c>
      <c r="E46" s="5">
        <v>3.7681</v>
      </c>
      <c r="F46" s="5">
        <v>3.3938999999999999</v>
      </c>
      <c r="G46" s="5">
        <v>6.8819999999999997</v>
      </c>
      <c r="H46" s="5">
        <v>4.45</v>
      </c>
      <c r="I46" s="5">
        <v>1.22</v>
      </c>
      <c r="J46" s="5"/>
      <c r="K46" s="7" t="s">
        <v>53</v>
      </c>
      <c r="L46" s="7" t="s">
        <v>245</v>
      </c>
      <c r="M46" s="3">
        <v>0.805354978</v>
      </c>
    </row>
    <row r="47" spans="1:13" x14ac:dyDescent="0.2">
      <c r="A47" s="4" t="s">
        <v>54</v>
      </c>
      <c r="B47" s="5">
        <v>7.5462999999999996</v>
      </c>
      <c r="C47" s="5">
        <v>3.8761999999999999</v>
      </c>
      <c r="D47" s="5">
        <v>4.1516999999999999</v>
      </c>
      <c r="E47" s="5">
        <v>3.8273999999999999</v>
      </c>
      <c r="F47" s="5">
        <v>3.1059999999999999</v>
      </c>
      <c r="G47" s="5">
        <v>6.0564999999999998</v>
      </c>
      <c r="H47" s="5">
        <v>4.76</v>
      </c>
      <c r="I47" s="5">
        <v>1.54</v>
      </c>
      <c r="J47" s="5"/>
      <c r="K47" s="7" t="s">
        <v>54</v>
      </c>
      <c r="L47" s="7" t="s">
        <v>246</v>
      </c>
      <c r="M47" s="3">
        <v>0.804946944</v>
      </c>
    </row>
    <row r="48" spans="1:13" x14ac:dyDescent="0.2">
      <c r="A48" s="4" t="s">
        <v>55</v>
      </c>
      <c r="B48" s="5">
        <v>3.5002</v>
      </c>
      <c r="C48" s="5">
        <v>4.6605999999999996</v>
      </c>
      <c r="D48" s="5">
        <v>3.8780000000000001</v>
      </c>
      <c r="E48" s="5">
        <v>3.6711999999999998</v>
      </c>
      <c r="F48" s="5">
        <v>2.7555999999999998</v>
      </c>
      <c r="G48" s="5">
        <v>4.6067999999999998</v>
      </c>
      <c r="H48" s="5">
        <v>3.85</v>
      </c>
      <c r="I48" s="5">
        <v>0.66</v>
      </c>
      <c r="J48" s="5"/>
      <c r="K48" s="7" t="s">
        <v>55</v>
      </c>
      <c r="L48" s="7" t="s">
        <v>247</v>
      </c>
      <c r="M48" s="3">
        <v>0.80447230199999997</v>
      </c>
    </row>
    <row r="49" spans="1:13" x14ac:dyDescent="0.2">
      <c r="A49" s="4" t="s">
        <v>56</v>
      </c>
      <c r="B49" s="5">
        <v>4.5251999999999999</v>
      </c>
      <c r="C49" s="5">
        <v>5.2047999999999996</v>
      </c>
      <c r="D49" s="5">
        <v>3.7117</v>
      </c>
      <c r="E49" s="5">
        <v>3.0573000000000001</v>
      </c>
      <c r="F49" s="5">
        <v>3.2301000000000002</v>
      </c>
      <c r="G49" s="5">
        <v>4.7011000000000003</v>
      </c>
      <c r="H49" s="5">
        <v>4.07</v>
      </c>
      <c r="I49" s="5">
        <v>0.79</v>
      </c>
      <c r="J49" s="5"/>
      <c r="K49" s="7" t="s">
        <v>56</v>
      </c>
      <c r="L49" s="7" t="s">
        <v>248</v>
      </c>
      <c r="M49" s="3">
        <v>0.80433463599999999</v>
      </c>
    </row>
    <row r="50" spans="1:13" x14ac:dyDescent="0.2">
      <c r="A50" s="4" t="s">
        <v>57</v>
      </c>
      <c r="B50" s="5">
        <v>4.5</v>
      </c>
      <c r="C50" s="5">
        <v>5.3247999999999998</v>
      </c>
      <c r="D50" s="5">
        <v>4.4246999999999996</v>
      </c>
      <c r="E50" s="5">
        <v>3.8351000000000002</v>
      </c>
      <c r="F50" s="5">
        <v>3.6282999999999999</v>
      </c>
      <c r="G50" s="5">
        <v>3.8693</v>
      </c>
      <c r="H50" s="5">
        <v>4.26</v>
      </c>
      <c r="I50" s="5">
        <v>0.56999999999999995</v>
      </c>
      <c r="J50" s="5"/>
      <c r="K50" s="7" t="s">
        <v>57</v>
      </c>
      <c r="L50" s="7" t="s">
        <v>249</v>
      </c>
      <c r="M50" s="3">
        <v>0.80399992799999997</v>
      </c>
    </row>
    <row r="51" spans="1:13" x14ac:dyDescent="0.2">
      <c r="A51" s="4" t="s">
        <v>58</v>
      </c>
      <c r="B51" s="5">
        <v>3.0743</v>
      </c>
      <c r="C51" s="5">
        <v>1.5641</v>
      </c>
      <c r="D51" s="5">
        <v>0.99690000000000001</v>
      </c>
      <c r="E51" s="5">
        <v>1.2890999999999999</v>
      </c>
      <c r="F51" s="5">
        <v>0.85940000000000005</v>
      </c>
      <c r="G51" s="5">
        <v>1.3010999999999999</v>
      </c>
      <c r="H51" s="5">
        <v>1.51</v>
      </c>
      <c r="I51" s="5">
        <v>0.73</v>
      </c>
      <c r="J51" s="5"/>
      <c r="K51" s="7" t="s">
        <v>58</v>
      </c>
      <c r="L51" s="7" t="s">
        <v>250</v>
      </c>
      <c r="M51" s="3">
        <v>0.80354700800000001</v>
      </c>
    </row>
    <row r="52" spans="1:13" x14ac:dyDescent="0.2">
      <c r="A52" s="4" t="s">
        <v>59</v>
      </c>
      <c r="B52" s="5">
        <v>5.2954999999999997</v>
      </c>
      <c r="C52" s="5">
        <v>4.1177000000000001</v>
      </c>
      <c r="D52" s="5">
        <v>5.6830999999999996</v>
      </c>
      <c r="E52" s="5">
        <v>4.3415999999999997</v>
      </c>
      <c r="F52" s="5">
        <v>3.9868999999999999</v>
      </c>
      <c r="G52" s="5">
        <v>9.7103000000000002</v>
      </c>
      <c r="H52" s="5">
        <v>5.52</v>
      </c>
      <c r="I52" s="5">
        <v>1.97</v>
      </c>
      <c r="J52" s="5"/>
      <c r="K52" s="7" t="s">
        <v>59</v>
      </c>
      <c r="L52" s="7" t="s">
        <v>251</v>
      </c>
      <c r="M52" s="3">
        <v>0.80127126800000004</v>
      </c>
    </row>
    <row r="53" spans="1:13" x14ac:dyDescent="0.2">
      <c r="A53" s="4" t="s">
        <v>60</v>
      </c>
      <c r="B53" s="5">
        <v>5.8807</v>
      </c>
      <c r="C53" s="5">
        <v>4.6147999999999998</v>
      </c>
      <c r="D53" s="5">
        <v>4.1742999999999997</v>
      </c>
      <c r="E53" s="5">
        <v>2.09</v>
      </c>
      <c r="F53" s="5">
        <v>2.3188</v>
      </c>
      <c r="G53" s="5">
        <v>8.0286000000000008</v>
      </c>
      <c r="H53" s="5">
        <v>4.5199999999999996</v>
      </c>
      <c r="I53" s="5">
        <v>2.04</v>
      </c>
      <c r="J53" s="5"/>
      <c r="K53" s="7" t="s">
        <v>60</v>
      </c>
      <c r="L53" s="7" t="s">
        <v>252</v>
      </c>
      <c r="M53" s="3">
        <v>0.80100696699999996</v>
      </c>
    </row>
    <row r="54" spans="1:13" x14ac:dyDescent="0.2">
      <c r="A54" s="4" t="s">
        <v>61</v>
      </c>
      <c r="B54" s="5">
        <v>6.3788</v>
      </c>
      <c r="C54" s="5">
        <v>4.4013999999999998</v>
      </c>
      <c r="D54" s="5">
        <v>4.3620000000000001</v>
      </c>
      <c r="E54" s="5">
        <v>5.2552000000000003</v>
      </c>
      <c r="F54" s="5">
        <v>4.0397999999999996</v>
      </c>
      <c r="G54" s="5">
        <v>9.8514999999999997</v>
      </c>
      <c r="H54" s="5">
        <v>5.71</v>
      </c>
      <c r="I54" s="5">
        <v>2.0099999999999998</v>
      </c>
      <c r="J54" s="5"/>
      <c r="K54" s="7" t="s">
        <v>61</v>
      </c>
      <c r="L54" s="7" t="s">
        <v>253</v>
      </c>
      <c r="M54" s="3">
        <v>0.80093927799999998</v>
      </c>
    </row>
    <row r="55" spans="1:13" x14ac:dyDescent="0.2">
      <c r="A55" s="4" t="s">
        <v>62</v>
      </c>
      <c r="B55" s="5">
        <v>6.5627000000000004</v>
      </c>
      <c r="C55" s="5">
        <v>4.8635999999999999</v>
      </c>
      <c r="D55" s="5">
        <v>1.5981000000000001</v>
      </c>
      <c r="E55" s="5">
        <v>2.7464</v>
      </c>
      <c r="F55" s="5">
        <v>3.0798000000000001</v>
      </c>
      <c r="G55" s="5">
        <v>8.0839999999999996</v>
      </c>
      <c r="H55" s="5">
        <v>4.49</v>
      </c>
      <c r="I55" s="5">
        <v>2.2599999999999998</v>
      </c>
      <c r="J55" s="5"/>
      <c r="K55" s="7" t="s">
        <v>62</v>
      </c>
      <c r="L55" s="7" t="s">
        <v>254</v>
      </c>
      <c r="M55" s="3">
        <v>0.79981332699999996</v>
      </c>
    </row>
    <row r="56" spans="1:13" x14ac:dyDescent="0.2">
      <c r="A56" s="4" t="s">
        <v>63</v>
      </c>
      <c r="B56" s="5">
        <v>5.4553000000000003</v>
      </c>
      <c r="C56" s="5">
        <v>3.2574999999999998</v>
      </c>
      <c r="D56" s="5">
        <v>3.1932999999999998</v>
      </c>
      <c r="E56" s="5">
        <v>3.2652999999999999</v>
      </c>
      <c r="F56" s="5">
        <v>2.4773999999999998</v>
      </c>
      <c r="G56" s="5">
        <v>5.4532999999999996</v>
      </c>
      <c r="H56" s="5">
        <v>3.85</v>
      </c>
      <c r="I56" s="5">
        <v>1.17</v>
      </c>
      <c r="J56" s="5"/>
      <c r="K56" s="7" t="s">
        <v>63</v>
      </c>
      <c r="L56" s="7" t="s">
        <v>255</v>
      </c>
      <c r="M56" s="3">
        <v>0.79920606400000005</v>
      </c>
    </row>
    <row r="57" spans="1:13" x14ac:dyDescent="0.2">
      <c r="A57" s="4" t="s">
        <v>64</v>
      </c>
      <c r="B57" s="5">
        <v>7.0185000000000004</v>
      </c>
      <c r="C57" s="5">
        <v>3.3239999999999998</v>
      </c>
      <c r="D57" s="5">
        <v>2.7521</v>
      </c>
      <c r="E57" s="5">
        <v>4.0719000000000003</v>
      </c>
      <c r="F57" s="5">
        <v>3.0284</v>
      </c>
      <c r="G57" s="5">
        <v>7.1326000000000001</v>
      </c>
      <c r="H57" s="5">
        <v>4.55</v>
      </c>
      <c r="I57" s="5">
        <v>1.83</v>
      </c>
      <c r="J57" s="5"/>
      <c r="K57" s="7" t="s">
        <v>64</v>
      </c>
      <c r="L57" s="7" t="s">
        <v>256</v>
      </c>
      <c r="M57" s="3">
        <v>0.79902281600000002</v>
      </c>
    </row>
    <row r="58" spans="1:13" x14ac:dyDescent="0.2">
      <c r="A58" s="4" t="s">
        <v>65</v>
      </c>
      <c r="B58" s="5">
        <v>1.7465999999999999</v>
      </c>
      <c r="C58" s="5">
        <v>1.4639</v>
      </c>
      <c r="D58" s="5">
        <v>1.0503</v>
      </c>
      <c r="E58" s="5">
        <v>1.5114000000000001</v>
      </c>
      <c r="F58" s="5">
        <v>0.35620000000000002</v>
      </c>
      <c r="G58" s="5">
        <v>0.65969999999999995</v>
      </c>
      <c r="H58" s="5">
        <v>1.1299999999999999</v>
      </c>
      <c r="I58" s="5">
        <v>0.49</v>
      </c>
      <c r="J58" s="5"/>
      <c r="K58" s="7" t="s">
        <v>65</v>
      </c>
      <c r="L58" s="7" t="s">
        <v>257</v>
      </c>
      <c r="M58" s="3">
        <v>0.79850391700000001</v>
      </c>
    </row>
    <row r="59" spans="1:13" x14ac:dyDescent="0.2">
      <c r="A59" s="4" t="s">
        <v>66</v>
      </c>
      <c r="B59" s="5">
        <v>5.5805999999999996</v>
      </c>
      <c r="C59" s="5">
        <v>5.5648999999999997</v>
      </c>
      <c r="D59" s="5">
        <v>5.9527000000000001</v>
      </c>
      <c r="E59" s="5">
        <v>5.6768000000000001</v>
      </c>
      <c r="F59" s="5">
        <v>4.8535000000000004</v>
      </c>
      <c r="G59" s="5">
        <v>6.4009999999999998</v>
      </c>
      <c r="H59" s="5">
        <v>5.67</v>
      </c>
      <c r="I59" s="5">
        <v>0.47</v>
      </c>
      <c r="J59" s="5"/>
      <c r="K59" s="7" t="s">
        <v>66</v>
      </c>
      <c r="L59" s="7" t="s">
        <v>258</v>
      </c>
      <c r="M59" s="3">
        <v>0.79833178299999996</v>
      </c>
    </row>
    <row r="60" spans="1:13" x14ac:dyDescent="0.2">
      <c r="A60" s="4" t="s">
        <v>67</v>
      </c>
      <c r="B60" s="5">
        <v>4.8441999999999998</v>
      </c>
      <c r="C60" s="5">
        <v>6.5586000000000002</v>
      </c>
      <c r="D60" s="5">
        <v>5.0773000000000001</v>
      </c>
      <c r="E60" s="5">
        <v>4.5190999999999999</v>
      </c>
      <c r="F60" s="5">
        <v>4.0087999999999999</v>
      </c>
      <c r="G60" s="5">
        <v>8.7262000000000004</v>
      </c>
      <c r="H60" s="5">
        <v>5.62</v>
      </c>
      <c r="I60" s="5">
        <v>1.59</v>
      </c>
      <c r="J60" s="5"/>
      <c r="K60" s="7" t="s">
        <v>67</v>
      </c>
      <c r="L60" s="7" t="s">
        <v>259</v>
      </c>
      <c r="M60" s="3">
        <v>0.79792375000000004</v>
      </c>
    </row>
    <row r="61" spans="1:13" x14ac:dyDescent="0.2">
      <c r="A61" s="4" t="s">
        <v>68</v>
      </c>
      <c r="B61" s="5">
        <v>4.3996000000000004</v>
      </c>
      <c r="C61" s="5">
        <v>5.3341000000000003</v>
      </c>
      <c r="D61" s="5">
        <v>4.3693</v>
      </c>
      <c r="E61" s="5">
        <v>3.4668999999999999</v>
      </c>
      <c r="F61" s="5">
        <v>3.1810999999999998</v>
      </c>
      <c r="G61" s="5">
        <v>5.0212000000000003</v>
      </c>
      <c r="H61" s="5">
        <v>4.3</v>
      </c>
      <c r="I61" s="5">
        <v>0.77</v>
      </c>
      <c r="J61" s="5"/>
      <c r="K61" s="7" t="s">
        <v>68</v>
      </c>
      <c r="L61" s="7" t="s">
        <v>260</v>
      </c>
      <c r="M61" s="3">
        <v>0.79770089200000005</v>
      </c>
    </row>
    <row r="62" spans="1:13" x14ac:dyDescent="0.2">
      <c r="A62" s="4" t="s">
        <v>69</v>
      </c>
      <c r="B62" s="5">
        <v>8.0134000000000007</v>
      </c>
      <c r="C62" s="5">
        <v>5.1195000000000004</v>
      </c>
      <c r="D62" s="5">
        <v>6.5949</v>
      </c>
      <c r="E62" s="5">
        <v>4.7930999999999999</v>
      </c>
      <c r="F62" s="5">
        <v>4.3605999999999998</v>
      </c>
      <c r="G62" s="5">
        <v>7.3394000000000004</v>
      </c>
      <c r="H62" s="5">
        <v>6.04</v>
      </c>
      <c r="I62" s="5">
        <v>1.36</v>
      </c>
      <c r="J62" s="5"/>
      <c r="K62" s="7" t="s">
        <v>69</v>
      </c>
      <c r="L62" s="7" t="s">
        <v>261</v>
      </c>
      <c r="M62" s="3">
        <v>0.79731144200000004</v>
      </c>
    </row>
    <row r="63" spans="1:13" x14ac:dyDescent="0.2">
      <c r="A63" s="4" t="s">
        <v>70</v>
      </c>
      <c r="B63" s="5">
        <v>3.1633</v>
      </c>
      <c r="C63" s="5">
        <v>2.2147000000000001</v>
      </c>
      <c r="D63" s="5">
        <v>1.0578000000000001</v>
      </c>
      <c r="E63" s="5">
        <v>1.7334000000000001</v>
      </c>
      <c r="F63" s="5">
        <v>0.85</v>
      </c>
      <c r="G63" s="5">
        <v>1.6278999999999999</v>
      </c>
      <c r="H63" s="5">
        <v>1.77</v>
      </c>
      <c r="I63" s="5">
        <v>0.77</v>
      </c>
      <c r="J63" s="5"/>
      <c r="K63" s="7" t="s">
        <v>70</v>
      </c>
      <c r="L63" s="7" t="s">
        <v>262</v>
      </c>
      <c r="M63" s="3">
        <v>0.79696029599999996</v>
      </c>
    </row>
    <row r="64" spans="1:13" x14ac:dyDescent="0.2">
      <c r="A64" s="4" t="s">
        <v>71</v>
      </c>
      <c r="B64" s="5">
        <v>6.3071000000000002</v>
      </c>
      <c r="C64" s="5">
        <v>8.0853999999999999</v>
      </c>
      <c r="D64" s="5">
        <v>6.4103000000000003</v>
      </c>
      <c r="E64" s="5">
        <v>4.9833999999999996</v>
      </c>
      <c r="F64" s="5">
        <v>4.4391999999999996</v>
      </c>
      <c r="G64" s="5">
        <v>9.8507999999999996</v>
      </c>
      <c r="H64" s="5">
        <v>6.68</v>
      </c>
      <c r="I64" s="5">
        <v>1.83</v>
      </c>
      <c r="J64" s="5"/>
      <c r="K64" s="7" t="s">
        <v>71</v>
      </c>
      <c r="L64" s="7" t="s">
        <v>263</v>
      </c>
      <c r="M64" s="3">
        <v>0.78425701800000003</v>
      </c>
    </row>
    <row r="65" spans="1:13" x14ac:dyDescent="0.2">
      <c r="A65" s="4" t="s">
        <v>72</v>
      </c>
      <c r="B65" s="5">
        <v>6.0330000000000004</v>
      </c>
      <c r="C65" s="5">
        <v>5.2317999999999998</v>
      </c>
      <c r="D65" s="5">
        <v>6.5476999999999999</v>
      </c>
      <c r="E65" s="5">
        <v>6.2923</v>
      </c>
      <c r="F65" s="5">
        <v>3.3475999999999999</v>
      </c>
      <c r="G65" s="5">
        <v>10.0395</v>
      </c>
      <c r="H65" s="5">
        <v>6.25</v>
      </c>
      <c r="I65" s="5">
        <v>2</v>
      </c>
      <c r="J65" s="5"/>
      <c r="K65" s="7" t="s">
        <v>72</v>
      </c>
      <c r="L65" s="7" t="s">
        <v>264</v>
      </c>
      <c r="M65" s="3">
        <v>0.79398377200000003</v>
      </c>
    </row>
    <row r="66" spans="1:13" x14ac:dyDescent="0.2">
      <c r="A66" s="4" t="s">
        <v>73</v>
      </c>
      <c r="B66" s="5">
        <v>7.5986000000000002</v>
      </c>
      <c r="C66" s="5">
        <v>5.4451000000000001</v>
      </c>
      <c r="D66" s="5">
        <v>4.9701000000000004</v>
      </c>
      <c r="E66" s="5">
        <v>2.1446000000000001</v>
      </c>
      <c r="F66" s="5">
        <v>4.7804000000000002</v>
      </c>
      <c r="G66" s="5">
        <v>8.4496000000000002</v>
      </c>
      <c r="H66" s="5">
        <v>5.56</v>
      </c>
      <c r="I66" s="5">
        <v>2.0499999999999998</v>
      </c>
      <c r="J66" s="5"/>
      <c r="K66" s="7" t="s">
        <v>73</v>
      </c>
      <c r="L66" s="7" t="s">
        <v>265</v>
      </c>
      <c r="M66" s="3">
        <v>0.79288065799999996</v>
      </c>
    </row>
    <row r="67" spans="1:13" x14ac:dyDescent="0.2">
      <c r="A67" s="4" t="s">
        <v>74</v>
      </c>
      <c r="B67" s="5">
        <v>6.5145</v>
      </c>
      <c r="C67" s="5">
        <v>7.2047999999999996</v>
      </c>
      <c r="D67" s="5">
        <v>4.3430999999999997</v>
      </c>
      <c r="E67" s="5">
        <v>4.0602999999999998</v>
      </c>
      <c r="F67" s="5">
        <v>6.1947999999999999</v>
      </c>
      <c r="G67" s="5">
        <v>12.7188</v>
      </c>
      <c r="H67" s="5">
        <v>6.84</v>
      </c>
      <c r="I67" s="5">
        <v>2.86</v>
      </c>
      <c r="J67" s="5"/>
      <c r="K67" s="7" t="s">
        <v>74</v>
      </c>
      <c r="L67" s="7" t="s">
        <v>266</v>
      </c>
      <c r="M67" s="3">
        <v>0.79279013300000001</v>
      </c>
    </row>
    <row r="68" spans="1:13" x14ac:dyDescent="0.2">
      <c r="A68" s="4" t="s">
        <v>75</v>
      </c>
      <c r="B68" s="5">
        <v>5.3569000000000004</v>
      </c>
      <c r="C68" s="5">
        <v>3.4174000000000002</v>
      </c>
      <c r="D68" s="5">
        <v>4.8266</v>
      </c>
      <c r="E68" s="5">
        <v>3.6764999999999999</v>
      </c>
      <c r="F68" s="5">
        <v>2.7368999999999999</v>
      </c>
      <c r="G68" s="5">
        <v>8.6920000000000002</v>
      </c>
      <c r="H68" s="5">
        <v>4.78</v>
      </c>
      <c r="I68" s="5">
        <v>1.95</v>
      </c>
      <c r="J68" s="5"/>
      <c r="K68" s="7" t="s">
        <v>75</v>
      </c>
      <c r="L68" s="7" t="s">
        <v>267</v>
      </c>
      <c r="M68" s="3">
        <v>0.79226835100000004</v>
      </c>
    </row>
    <row r="69" spans="1:13" x14ac:dyDescent="0.2">
      <c r="A69" s="4" t="s">
        <v>76</v>
      </c>
      <c r="B69" s="5">
        <v>8.6264000000000003</v>
      </c>
      <c r="C69" s="5">
        <v>4.8997999999999999</v>
      </c>
      <c r="D69" s="5">
        <v>5.6390000000000002</v>
      </c>
      <c r="E69" s="5">
        <v>4.2962999999999996</v>
      </c>
      <c r="F69" s="5">
        <v>3.9903</v>
      </c>
      <c r="G69" s="5">
        <v>9.0328999999999997</v>
      </c>
      <c r="H69" s="5">
        <v>6.08</v>
      </c>
      <c r="I69" s="5">
        <v>2.0099999999999998</v>
      </c>
      <c r="J69" s="5"/>
      <c r="K69" s="7" t="s">
        <v>76</v>
      </c>
      <c r="L69" s="7" t="s">
        <v>268</v>
      </c>
      <c r="M69" s="3">
        <v>0.79218286999999998</v>
      </c>
    </row>
    <row r="70" spans="1:13" x14ac:dyDescent="0.2">
      <c r="A70" s="4" t="s">
        <v>77</v>
      </c>
      <c r="B70" s="5">
        <v>9.4597999999999995</v>
      </c>
      <c r="C70" s="5">
        <v>4.4330999999999996</v>
      </c>
      <c r="D70" s="5">
        <v>6.8509000000000002</v>
      </c>
      <c r="E70" s="5">
        <v>5.6402999999999999</v>
      </c>
      <c r="F70" s="5">
        <v>4.8182</v>
      </c>
      <c r="G70" s="5">
        <v>9.5458999999999996</v>
      </c>
      <c r="H70" s="5">
        <v>6.79</v>
      </c>
      <c r="I70" s="5">
        <v>2.06</v>
      </c>
      <c r="J70" s="5"/>
      <c r="K70" s="7" t="s">
        <v>77</v>
      </c>
      <c r="L70" s="7" t="s">
        <v>269</v>
      </c>
      <c r="M70" s="3">
        <v>0.79199962199999996</v>
      </c>
    </row>
    <row r="71" spans="1:13" x14ac:dyDescent="0.2">
      <c r="A71" s="4" t="s">
        <v>78</v>
      </c>
      <c r="B71" s="5">
        <v>7.7252999999999998</v>
      </c>
      <c r="C71" s="5">
        <v>4.8887</v>
      </c>
      <c r="D71" s="5">
        <v>5.5229999999999997</v>
      </c>
      <c r="E71" s="5">
        <v>4.4793000000000003</v>
      </c>
      <c r="F71" s="5">
        <v>5.7023000000000001</v>
      </c>
      <c r="G71" s="5">
        <v>6.327</v>
      </c>
      <c r="H71" s="5">
        <v>5.77</v>
      </c>
      <c r="I71" s="5">
        <v>1.05</v>
      </c>
      <c r="J71" s="5"/>
      <c r="K71" s="7" t="s">
        <v>78</v>
      </c>
      <c r="L71" s="7" t="s">
        <v>270</v>
      </c>
      <c r="M71" s="3">
        <v>0.79183796500000003</v>
      </c>
    </row>
    <row r="72" spans="1:13" x14ac:dyDescent="0.2">
      <c r="A72" s="4" t="s">
        <v>79</v>
      </c>
      <c r="B72" s="5">
        <v>6.2553000000000001</v>
      </c>
      <c r="C72" s="5">
        <v>3.7410000000000001</v>
      </c>
      <c r="D72" s="5">
        <v>4.7876000000000003</v>
      </c>
      <c r="E72" s="5">
        <v>3.2008999999999999</v>
      </c>
      <c r="F72" s="5">
        <v>3.5745</v>
      </c>
      <c r="G72" s="5">
        <v>3.7107000000000001</v>
      </c>
      <c r="H72" s="5">
        <v>4.21</v>
      </c>
      <c r="I72" s="5">
        <v>1.03</v>
      </c>
      <c r="J72" s="5"/>
      <c r="K72" s="7" t="s">
        <v>79</v>
      </c>
      <c r="L72" s="7" t="s">
        <v>271</v>
      </c>
      <c r="M72" s="3">
        <v>0.79174507100000002</v>
      </c>
    </row>
    <row r="73" spans="1:13" x14ac:dyDescent="0.2">
      <c r="A73" s="4" t="s">
        <v>80</v>
      </c>
      <c r="B73" s="5">
        <v>8.2402999999999995</v>
      </c>
      <c r="C73" s="5">
        <v>5.9278000000000004</v>
      </c>
      <c r="D73" s="5">
        <v>6.2149000000000001</v>
      </c>
      <c r="E73" s="5">
        <v>5.7853000000000003</v>
      </c>
      <c r="F73" s="5">
        <v>4.8989000000000003</v>
      </c>
      <c r="G73" s="5">
        <v>7.6501000000000001</v>
      </c>
      <c r="H73" s="5">
        <v>6.45</v>
      </c>
      <c r="I73" s="5">
        <v>1.1399999999999999</v>
      </c>
      <c r="J73" s="5"/>
      <c r="K73" s="7" t="s">
        <v>80</v>
      </c>
      <c r="L73" s="7" t="s">
        <v>272</v>
      </c>
      <c r="M73" s="3">
        <v>0.79160759800000002</v>
      </c>
    </row>
    <row r="74" spans="1:13" x14ac:dyDescent="0.2">
      <c r="A74" s="4" t="s">
        <v>81</v>
      </c>
      <c r="B74" s="5">
        <v>5.5168999999999997</v>
      </c>
      <c r="C74" s="5">
        <v>4.8932000000000002</v>
      </c>
      <c r="D74" s="5">
        <v>3.3689</v>
      </c>
      <c r="E74" s="5">
        <v>3.8773</v>
      </c>
      <c r="F74" s="5">
        <v>3.5697000000000001</v>
      </c>
      <c r="G74" s="5">
        <v>5.3025000000000002</v>
      </c>
      <c r="H74" s="5">
        <v>4.42</v>
      </c>
      <c r="I74" s="5">
        <v>0.85</v>
      </c>
      <c r="J74" s="5"/>
      <c r="K74" s="7" t="s">
        <v>81</v>
      </c>
      <c r="L74" s="7" t="s">
        <v>273</v>
      </c>
      <c r="M74" s="3">
        <v>0.79133703799999999</v>
      </c>
    </row>
    <row r="75" spans="1:13" x14ac:dyDescent="0.2">
      <c r="A75" s="4" t="s">
        <v>82</v>
      </c>
      <c r="B75" s="5">
        <v>4.4443999999999999</v>
      </c>
      <c r="C75" s="5">
        <v>4.5237999999999996</v>
      </c>
      <c r="D75" s="5">
        <v>2.9236</v>
      </c>
      <c r="E75" s="5">
        <v>2.2208000000000001</v>
      </c>
      <c r="F75" s="5">
        <v>2.6074999999999999</v>
      </c>
      <c r="G75" s="5">
        <v>3.6280000000000001</v>
      </c>
      <c r="H75" s="5">
        <v>3.39</v>
      </c>
      <c r="I75" s="5">
        <v>0.88</v>
      </c>
      <c r="J75" s="5"/>
      <c r="K75" s="7" t="s">
        <v>82</v>
      </c>
      <c r="L75" s="7" t="s">
        <v>274</v>
      </c>
      <c r="M75" s="3">
        <v>0.79072472999999999</v>
      </c>
    </row>
    <row r="76" spans="1:13" x14ac:dyDescent="0.2">
      <c r="A76" s="4" t="s">
        <v>83</v>
      </c>
      <c r="B76" s="5">
        <v>3.6255000000000002</v>
      </c>
      <c r="C76" s="5">
        <v>4.9221000000000004</v>
      </c>
      <c r="D76" s="5">
        <v>4.5156999999999998</v>
      </c>
      <c r="E76" s="5">
        <v>4.2129000000000003</v>
      </c>
      <c r="F76" s="5">
        <v>2.9228999999999998</v>
      </c>
      <c r="G76" s="5">
        <v>6.0804</v>
      </c>
      <c r="H76" s="5">
        <v>4.38</v>
      </c>
      <c r="I76" s="5">
        <v>0.99</v>
      </c>
      <c r="J76" s="5"/>
      <c r="K76" s="7" t="s">
        <v>83</v>
      </c>
      <c r="L76" s="7" t="s">
        <v>275</v>
      </c>
      <c r="M76" s="3">
        <v>0.79036207400000003</v>
      </c>
    </row>
    <row r="77" spans="1:13" x14ac:dyDescent="0.2">
      <c r="A77" s="4" t="s">
        <v>84</v>
      </c>
      <c r="B77" s="5">
        <v>1.1153</v>
      </c>
      <c r="C77" s="5">
        <v>0.76380000000000003</v>
      </c>
      <c r="D77" s="5">
        <v>1.0304</v>
      </c>
      <c r="E77" s="5">
        <v>1.0547</v>
      </c>
      <c r="F77" s="5">
        <v>0.15329999999999999</v>
      </c>
      <c r="G77" s="5">
        <v>0.92279999999999995</v>
      </c>
      <c r="H77" s="5">
        <v>0.84</v>
      </c>
      <c r="I77" s="5">
        <v>0.33</v>
      </c>
      <c r="J77" s="5"/>
      <c r="K77" s="7" t="s">
        <v>84</v>
      </c>
      <c r="L77" s="7" t="s">
        <v>276</v>
      </c>
      <c r="M77" s="3">
        <v>0.79016040600000004</v>
      </c>
    </row>
    <row r="78" spans="1:13" x14ac:dyDescent="0.2">
      <c r="A78" s="4" t="s">
        <v>85</v>
      </c>
      <c r="B78" s="5">
        <v>2.4662999999999999</v>
      </c>
      <c r="C78" s="5">
        <v>2.77</v>
      </c>
      <c r="D78" s="5">
        <v>3.2713000000000001</v>
      </c>
      <c r="E78" s="5">
        <v>2.78</v>
      </c>
      <c r="F78" s="5">
        <v>3.8046000000000002</v>
      </c>
      <c r="G78" s="5">
        <v>5.0034999999999998</v>
      </c>
      <c r="H78" s="5">
        <v>3.35</v>
      </c>
      <c r="I78" s="5">
        <v>0.86</v>
      </c>
      <c r="J78" s="5"/>
      <c r="K78" s="7" t="s">
        <v>85</v>
      </c>
      <c r="L78" s="7" t="s">
        <v>277</v>
      </c>
      <c r="M78" s="3">
        <v>0.78934173299999999</v>
      </c>
    </row>
    <row r="79" spans="1:13" x14ac:dyDescent="0.2">
      <c r="A79" s="4" t="s">
        <v>86</v>
      </c>
      <c r="B79" s="5">
        <v>6.8806000000000003</v>
      </c>
      <c r="C79" s="5">
        <v>4.6673</v>
      </c>
      <c r="D79" s="5">
        <v>4.8860999999999999</v>
      </c>
      <c r="E79" s="5">
        <v>4.0903</v>
      </c>
      <c r="F79" s="5">
        <v>4.9699</v>
      </c>
      <c r="G79" s="5">
        <v>5.8037999999999998</v>
      </c>
      <c r="H79" s="5">
        <v>5.22</v>
      </c>
      <c r="I79" s="5">
        <v>0.9</v>
      </c>
      <c r="J79" s="5"/>
      <c r="K79" s="7" t="s">
        <v>86</v>
      </c>
      <c r="L79" s="7" t="s">
        <v>278</v>
      </c>
      <c r="M79" s="3">
        <v>0.78903485299999998</v>
      </c>
    </row>
    <row r="80" spans="1:13" x14ac:dyDescent="0.2">
      <c r="A80" s="4" t="s">
        <v>87</v>
      </c>
      <c r="B80" s="5">
        <v>7.0132000000000003</v>
      </c>
      <c r="C80" s="5">
        <v>3.141</v>
      </c>
      <c r="D80" s="5">
        <v>4.4093999999999998</v>
      </c>
      <c r="E80" s="5">
        <v>2.4485000000000001</v>
      </c>
      <c r="F80" s="5">
        <v>4.9748999999999999</v>
      </c>
      <c r="G80" s="5">
        <v>7.8475000000000001</v>
      </c>
      <c r="H80" s="5">
        <v>4.97</v>
      </c>
      <c r="I80" s="5">
        <v>1.94</v>
      </c>
      <c r="J80" s="5"/>
      <c r="K80" s="7" t="s">
        <v>87</v>
      </c>
      <c r="L80" s="7" t="s">
        <v>279</v>
      </c>
      <c r="M80" s="3">
        <v>0.78894068100000003</v>
      </c>
    </row>
    <row r="81" spans="1:13" x14ac:dyDescent="0.2">
      <c r="A81" s="4" t="s">
        <v>88</v>
      </c>
      <c r="B81" s="5">
        <v>4.5564</v>
      </c>
      <c r="C81" s="5">
        <v>3.5968</v>
      </c>
      <c r="D81" s="5">
        <v>2.6469</v>
      </c>
      <c r="E81" s="5">
        <v>2.3925000000000001</v>
      </c>
      <c r="F81" s="5">
        <v>2.8454999999999999</v>
      </c>
      <c r="G81" s="5">
        <v>4.7397</v>
      </c>
      <c r="H81" s="5">
        <v>3.46</v>
      </c>
      <c r="I81" s="5">
        <v>0.92</v>
      </c>
      <c r="J81" s="5"/>
      <c r="K81" s="7" t="s">
        <v>88</v>
      </c>
      <c r="L81" s="7" t="s">
        <v>280</v>
      </c>
      <c r="M81" s="3">
        <v>0.78421315999999996</v>
      </c>
    </row>
    <row r="82" spans="1:13" x14ac:dyDescent="0.2">
      <c r="A82" s="4" t="s">
        <v>89</v>
      </c>
      <c r="B82" s="5">
        <v>9.8764000000000003</v>
      </c>
      <c r="C82" s="5">
        <v>5.4513999999999996</v>
      </c>
      <c r="D82" s="5">
        <v>5.9066999999999998</v>
      </c>
      <c r="E82" s="5">
        <v>6.0716000000000001</v>
      </c>
      <c r="F82" s="5">
        <v>6.6525999999999996</v>
      </c>
      <c r="G82" s="5">
        <v>11.01</v>
      </c>
      <c r="H82" s="5">
        <v>7.49</v>
      </c>
      <c r="I82" s="5">
        <v>2.14</v>
      </c>
      <c r="J82" s="5"/>
      <c r="K82" s="7" t="s">
        <v>89</v>
      </c>
      <c r="L82" s="7" t="s">
        <v>281</v>
      </c>
      <c r="M82" s="3">
        <v>0.78868868400000003</v>
      </c>
    </row>
    <row r="83" spans="1:13" x14ac:dyDescent="0.2">
      <c r="A83" s="4" t="s">
        <v>90</v>
      </c>
      <c r="B83" s="5">
        <v>2.0377000000000001</v>
      </c>
      <c r="C83" s="5">
        <v>1.4389000000000001</v>
      </c>
      <c r="D83" s="5">
        <v>2.6070000000000002</v>
      </c>
      <c r="E83" s="5">
        <v>1.4373</v>
      </c>
      <c r="F83" s="5">
        <v>0.44879999999999998</v>
      </c>
      <c r="G83" s="5">
        <v>0.36030000000000001</v>
      </c>
      <c r="H83" s="5">
        <v>1.39</v>
      </c>
      <c r="I83" s="5">
        <v>0.8</v>
      </c>
      <c r="J83" s="5"/>
      <c r="K83" s="7" t="s">
        <v>90</v>
      </c>
      <c r="L83" s="7" t="s">
        <v>282</v>
      </c>
      <c r="M83" s="3">
        <v>0.7884466</v>
      </c>
    </row>
    <row r="84" spans="1:13" x14ac:dyDescent="0.2">
      <c r="A84" s="4" t="s">
        <v>91</v>
      </c>
      <c r="B84" s="5">
        <v>8.8163999999999998</v>
      </c>
      <c r="C84" s="5">
        <v>4.3962000000000003</v>
      </c>
      <c r="D84" s="5">
        <v>4.7389999999999999</v>
      </c>
      <c r="E84" s="5">
        <v>3.9815999999999998</v>
      </c>
      <c r="F84" s="5">
        <v>4.8010999999999999</v>
      </c>
      <c r="G84" s="5">
        <v>7.5580999999999996</v>
      </c>
      <c r="H84" s="5">
        <v>5.72</v>
      </c>
      <c r="I84" s="5">
        <v>1.8</v>
      </c>
      <c r="J84" s="5"/>
      <c r="K84" s="7" t="s">
        <v>91</v>
      </c>
      <c r="L84" s="7" t="s">
        <v>283</v>
      </c>
      <c r="M84" s="3">
        <v>0.78788680200000005</v>
      </c>
    </row>
    <row r="85" spans="1:13" x14ac:dyDescent="0.2">
      <c r="A85" s="4" t="s">
        <v>92</v>
      </c>
      <c r="B85" s="5">
        <v>7.5603999999999996</v>
      </c>
      <c r="C85" s="5">
        <v>5.9181999999999997</v>
      </c>
      <c r="D85" s="5">
        <v>4.1745000000000001</v>
      </c>
      <c r="E85" s="5">
        <v>4.0425000000000004</v>
      </c>
      <c r="F85" s="5">
        <v>4.7606000000000002</v>
      </c>
      <c r="G85" s="5">
        <v>7.0799000000000003</v>
      </c>
      <c r="H85" s="5">
        <v>5.59</v>
      </c>
      <c r="I85" s="5">
        <v>1.37</v>
      </c>
      <c r="J85" s="5"/>
      <c r="K85" s="7" t="s">
        <v>92</v>
      </c>
      <c r="L85" s="7" t="s">
        <v>284</v>
      </c>
      <c r="M85" s="3">
        <v>0.78774704100000004</v>
      </c>
    </row>
    <row r="86" spans="1:13" x14ac:dyDescent="0.2">
      <c r="A86" s="4" t="s">
        <v>93</v>
      </c>
      <c r="B86" s="5">
        <v>5.0393999999999997</v>
      </c>
      <c r="C86" s="5">
        <v>3.0228000000000002</v>
      </c>
      <c r="D86" s="5">
        <v>3.714</v>
      </c>
      <c r="E86" s="5">
        <v>1.9274</v>
      </c>
      <c r="F86" s="5">
        <v>3.3123999999999998</v>
      </c>
      <c r="G86" s="5">
        <v>4.0925000000000002</v>
      </c>
      <c r="H86" s="5">
        <v>3.52</v>
      </c>
      <c r="I86" s="5">
        <v>0.96</v>
      </c>
      <c r="J86" s="5"/>
      <c r="K86" s="7" t="s">
        <v>93</v>
      </c>
      <c r="L86" s="7" t="s">
        <v>285</v>
      </c>
      <c r="M86" s="3">
        <v>0.78739705999999998</v>
      </c>
    </row>
    <row r="87" spans="1:13" x14ac:dyDescent="0.2">
      <c r="A87" s="4" t="s">
        <v>94</v>
      </c>
      <c r="B87" s="5">
        <v>6.6601999999999997</v>
      </c>
      <c r="C87" s="5">
        <v>4.6063999999999998</v>
      </c>
      <c r="D87" s="5">
        <v>3.6021000000000001</v>
      </c>
      <c r="E87" s="5">
        <v>2.9531999999999998</v>
      </c>
      <c r="F87" s="5">
        <v>3.3117000000000001</v>
      </c>
      <c r="G87" s="5">
        <v>5.0738000000000003</v>
      </c>
      <c r="H87" s="5">
        <v>4.37</v>
      </c>
      <c r="I87" s="5">
        <v>1.26</v>
      </c>
      <c r="J87" s="5"/>
      <c r="K87" s="7" t="s">
        <v>94</v>
      </c>
      <c r="L87" s="7" t="s">
        <v>286</v>
      </c>
      <c r="M87" s="3">
        <v>0.78713977800000001</v>
      </c>
    </row>
    <row r="88" spans="1:13" x14ac:dyDescent="0.2">
      <c r="A88" s="4" t="s">
        <v>95</v>
      </c>
      <c r="B88" s="5">
        <v>4.6332000000000004</v>
      </c>
      <c r="C88" s="5">
        <v>5.3817000000000004</v>
      </c>
      <c r="D88" s="5">
        <v>5.2356999999999996</v>
      </c>
      <c r="E88" s="5">
        <v>3.6789000000000001</v>
      </c>
      <c r="F88" s="5">
        <v>5.4743000000000004</v>
      </c>
      <c r="G88" s="5">
        <v>7.6657999999999999</v>
      </c>
      <c r="H88" s="5">
        <v>5.34</v>
      </c>
      <c r="I88" s="5">
        <v>1.2</v>
      </c>
      <c r="J88" s="5"/>
      <c r="K88" s="7" t="s">
        <v>95</v>
      </c>
      <c r="L88" s="7" t="s">
        <v>287</v>
      </c>
      <c r="M88" s="3">
        <v>0.78695653099999996</v>
      </c>
    </row>
    <row r="89" spans="1:13" x14ac:dyDescent="0.2">
      <c r="A89" s="4" t="s">
        <v>96</v>
      </c>
      <c r="B89" s="5">
        <v>3.6816</v>
      </c>
      <c r="C89" s="5">
        <v>4.1066000000000003</v>
      </c>
      <c r="D89" s="5">
        <v>4.2546999999999997</v>
      </c>
      <c r="E89" s="5">
        <v>3.0628000000000002</v>
      </c>
      <c r="F89" s="5">
        <v>4.7149000000000001</v>
      </c>
      <c r="G89" s="5">
        <v>5.4583000000000004</v>
      </c>
      <c r="H89" s="5">
        <v>4.21</v>
      </c>
      <c r="I89" s="5">
        <v>0.76</v>
      </c>
      <c r="J89" s="5"/>
      <c r="K89" s="7" t="s">
        <v>96</v>
      </c>
      <c r="L89" s="7" t="s">
        <v>288</v>
      </c>
      <c r="M89" s="3">
        <v>0.78620342099999996</v>
      </c>
    </row>
    <row r="90" spans="1:13" x14ac:dyDescent="0.2">
      <c r="A90" s="4" t="s">
        <v>97</v>
      </c>
      <c r="B90" s="5">
        <v>2.8083999999999998</v>
      </c>
      <c r="C90" s="5">
        <v>2.3178999999999998</v>
      </c>
      <c r="D90" s="5">
        <v>3.3784999999999998</v>
      </c>
      <c r="E90" s="5">
        <v>2.4272999999999998</v>
      </c>
      <c r="F90" s="5">
        <v>3.597</v>
      </c>
      <c r="G90" s="5">
        <v>3.2406000000000001</v>
      </c>
      <c r="H90" s="5">
        <v>2.96</v>
      </c>
      <c r="I90" s="5">
        <v>0.48</v>
      </c>
      <c r="J90" s="5"/>
      <c r="K90" s="7" t="s">
        <v>97</v>
      </c>
      <c r="L90" s="7" t="s">
        <v>289</v>
      </c>
      <c r="M90" s="3">
        <v>0.78601406299999999</v>
      </c>
    </row>
    <row r="91" spans="1:13" x14ac:dyDescent="0.2">
      <c r="A91" s="4" t="s">
        <v>98</v>
      </c>
      <c r="B91" s="5">
        <v>5.9767999999999999</v>
      </c>
      <c r="C91" s="5">
        <v>4.4180999999999999</v>
      </c>
      <c r="D91" s="5">
        <v>3.1993999999999998</v>
      </c>
      <c r="E91" s="5">
        <v>2.6221999999999999</v>
      </c>
      <c r="F91" s="5">
        <v>3.7804000000000002</v>
      </c>
      <c r="G91" s="5">
        <v>5.9419000000000004</v>
      </c>
      <c r="H91" s="5">
        <v>4.32</v>
      </c>
      <c r="I91" s="5">
        <v>1.28</v>
      </c>
      <c r="J91" s="5"/>
      <c r="K91" s="7" t="s">
        <v>98</v>
      </c>
      <c r="L91" s="7" t="s">
        <v>290</v>
      </c>
      <c r="M91" s="3">
        <v>0.78402991300000002</v>
      </c>
    </row>
    <row r="92" spans="1:13" x14ac:dyDescent="0.2">
      <c r="A92" s="4" t="s">
        <v>292</v>
      </c>
      <c r="B92" s="5">
        <v>7.5198</v>
      </c>
      <c r="C92" s="5">
        <v>5.5457999999999998</v>
      </c>
      <c r="D92" s="5">
        <v>5.0392000000000001</v>
      </c>
      <c r="E92" s="5">
        <v>4.3571999999999997</v>
      </c>
      <c r="F92" s="5">
        <v>5.3388999999999998</v>
      </c>
      <c r="G92" s="5">
        <v>7.3311999999999999</v>
      </c>
      <c r="H92" s="5">
        <v>5.86</v>
      </c>
      <c r="I92" s="5">
        <v>1.17</v>
      </c>
      <c r="J92" s="5"/>
      <c r="K92" s="7" t="s">
        <v>99</v>
      </c>
      <c r="L92" s="5" t="s">
        <v>291</v>
      </c>
    </row>
    <row r="93" spans="1:13" x14ac:dyDescent="0.2">
      <c r="A93" s="4"/>
      <c r="B93" s="6"/>
      <c r="C93" s="6"/>
      <c r="D93" s="6"/>
      <c r="E93" s="6"/>
      <c r="F93" s="6"/>
      <c r="G93" s="6"/>
      <c r="H93" s="6"/>
      <c r="I93" s="6"/>
      <c r="J93" s="7"/>
      <c r="K93" s="7" t="s">
        <v>100</v>
      </c>
      <c r="L93" s="5" t="s">
        <v>291</v>
      </c>
    </row>
    <row r="94" spans="1:13" x14ac:dyDescent="0.2">
      <c r="A94" s="4"/>
      <c r="B94" s="6"/>
      <c r="C94" s="6"/>
      <c r="D94" s="6"/>
      <c r="E94" s="6"/>
      <c r="F94" s="6"/>
      <c r="G94" s="6"/>
      <c r="H94" s="6"/>
      <c r="I94" s="6"/>
      <c r="J94" s="7"/>
      <c r="K94" s="7" t="s">
        <v>192</v>
      </c>
      <c r="L94" s="7" t="s">
        <v>9</v>
      </c>
    </row>
    <row r="95" spans="1:13" x14ac:dyDescent="0.2">
      <c r="K95" s="7" t="s">
        <v>193</v>
      </c>
      <c r="L95" s="7" t="s">
        <v>9</v>
      </c>
    </row>
    <row r="96" spans="1:13" x14ac:dyDescent="0.2">
      <c r="K96" s="7" t="s">
        <v>194</v>
      </c>
      <c r="L96" s="7" t="s">
        <v>10</v>
      </c>
    </row>
    <row r="97" spans="11:12" x14ac:dyDescent="0.2">
      <c r="K97" s="7" t="s">
        <v>101</v>
      </c>
      <c r="L97" s="7" t="s">
        <v>10</v>
      </c>
    </row>
    <row r="98" spans="11:12" x14ac:dyDescent="0.2">
      <c r="K98" s="7" t="s">
        <v>197</v>
      </c>
      <c r="L98" s="7" t="s">
        <v>196</v>
      </c>
    </row>
    <row r="99" spans="11:12" x14ac:dyDescent="0.2">
      <c r="K99" s="7" t="s">
        <v>198</v>
      </c>
      <c r="L99" s="7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5BEE-39C5-5647-898F-7D0CC9B8C6C4}">
  <dimension ref="A1:M107"/>
  <sheetViews>
    <sheetView workbookViewId="0">
      <selection activeCell="K1" sqref="K1"/>
    </sheetView>
  </sheetViews>
  <sheetFormatPr baseColWidth="10" defaultColWidth="11" defaultRowHeight="16" x14ac:dyDescent="0.2"/>
  <cols>
    <col min="11" max="11" width="30.33203125" customWidth="1"/>
    <col min="13" max="13" width="19.33203125" style="7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 t="s">
        <v>199</v>
      </c>
      <c r="L1" s="4" t="s">
        <v>200</v>
      </c>
      <c r="M1" t="s">
        <v>571</v>
      </c>
    </row>
    <row r="2" spans="1:13" x14ac:dyDescent="0.2">
      <c r="A2" s="4" t="s">
        <v>9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</v>
      </c>
      <c r="J2" s="5"/>
    </row>
    <row r="3" spans="1:13" x14ac:dyDescent="0.2">
      <c r="A3" s="4" t="s">
        <v>10</v>
      </c>
      <c r="B3" s="5">
        <v>2.81</v>
      </c>
      <c r="C3" s="5">
        <v>2.84</v>
      </c>
      <c r="D3" s="5">
        <v>2.78</v>
      </c>
      <c r="E3" s="5">
        <v>3.34</v>
      </c>
      <c r="F3" s="5">
        <v>2.76</v>
      </c>
      <c r="G3" s="5">
        <v>2.86</v>
      </c>
      <c r="H3" s="5">
        <v>2.9</v>
      </c>
      <c r="I3" s="5">
        <v>0.2</v>
      </c>
      <c r="J3" s="5"/>
    </row>
    <row r="4" spans="1:13" x14ac:dyDescent="0.2">
      <c r="A4" s="4" t="s">
        <v>11</v>
      </c>
      <c r="B4" s="5">
        <v>6.9</v>
      </c>
      <c r="C4" s="5">
        <v>4.62</v>
      </c>
      <c r="D4" s="5">
        <v>9.15</v>
      </c>
      <c r="E4" s="5">
        <v>10.06</v>
      </c>
      <c r="F4" s="5">
        <v>7.5</v>
      </c>
      <c r="G4" s="5">
        <v>9.0500000000000007</v>
      </c>
      <c r="H4" s="5">
        <v>7.88</v>
      </c>
      <c r="I4" s="5">
        <v>1.8</v>
      </c>
      <c r="J4" s="5"/>
      <c r="K4" s="3" t="s">
        <v>102</v>
      </c>
      <c r="L4" s="3" t="s">
        <v>11</v>
      </c>
      <c r="M4" s="7">
        <v>1.07794723309167</v>
      </c>
    </row>
    <row r="5" spans="1:13" x14ac:dyDescent="0.2">
      <c r="A5" s="4" t="s">
        <v>12</v>
      </c>
      <c r="B5" s="5">
        <v>2.67</v>
      </c>
      <c r="C5" s="5">
        <v>1.54</v>
      </c>
      <c r="D5" s="5">
        <v>5.07</v>
      </c>
      <c r="E5" s="5">
        <v>7.21</v>
      </c>
      <c r="F5" s="5">
        <v>7.59</v>
      </c>
      <c r="G5" s="5">
        <v>9.35</v>
      </c>
      <c r="H5" s="5">
        <v>5.57</v>
      </c>
      <c r="I5" s="5">
        <v>2.77</v>
      </c>
      <c r="J5" s="5"/>
      <c r="K5" s="3" t="s">
        <v>103</v>
      </c>
      <c r="L5" s="3" t="s">
        <v>12</v>
      </c>
      <c r="M5" s="7">
        <v>1.0728328652210399</v>
      </c>
    </row>
    <row r="6" spans="1:13" x14ac:dyDescent="0.2">
      <c r="A6" s="4" t="s">
        <v>13</v>
      </c>
      <c r="B6" s="5">
        <v>10.68</v>
      </c>
      <c r="C6" s="5">
        <v>7.47</v>
      </c>
      <c r="D6" s="5">
        <v>10.42</v>
      </c>
      <c r="E6" s="5">
        <v>12.73</v>
      </c>
      <c r="F6" s="5">
        <v>10.35</v>
      </c>
      <c r="G6" s="5">
        <v>15.12</v>
      </c>
      <c r="H6" s="5">
        <v>11.13</v>
      </c>
      <c r="I6" s="5">
        <v>2.35</v>
      </c>
      <c r="J6" s="5"/>
      <c r="K6" s="3" t="s">
        <v>104</v>
      </c>
      <c r="L6" s="3" t="s">
        <v>13</v>
      </c>
      <c r="M6" s="7">
        <v>1.0688689590631999</v>
      </c>
    </row>
    <row r="7" spans="1:13" x14ac:dyDescent="0.2">
      <c r="A7" s="4" t="s">
        <v>14</v>
      </c>
      <c r="B7" s="5">
        <v>10.08</v>
      </c>
      <c r="C7" s="5">
        <v>7.91</v>
      </c>
      <c r="D7" s="5">
        <v>10.199999999999999</v>
      </c>
      <c r="E7" s="5">
        <v>12.41</v>
      </c>
      <c r="F7" s="5">
        <v>8.0399999999999991</v>
      </c>
      <c r="G7" s="5">
        <v>14.88</v>
      </c>
      <c r="H7" s="5">
        <v>10.59</v>
      </c>
      <c r="I7" s="5">
        <v>2.44</v>
      </c>
      <c r="J7" s="5"/>
      <c r="K7" s="3" t="s">
        <v>105</v>
      </c>
      <c r="L7" s="3" t="s">
        <v>14</v>
      </c>
      <c r="M7" s="7">
        <v>1.04858413826205</v>
      </c>
    </row>
    <row r="8" spans="1:13" x14ac:dyDescent="0.2">
      <c r="A8" s="4" t="s">
        <v>15</v>
      </c>
      <c r="B8" s="5">
        <v>7.84</v>
      </c>
      <c r="C8" s="5">
        <v>6.02</v>
      </c>
      <c r="D8" s="5">
        <v>8.25</v>
      </c>
      <c r="E8" s="5">
        <v>10.1</v>
      </c>
      <c r="F8" s="5">
        <v>7.8</v>
      </c>
      <c r="G8" s="5">
        <v>8.93</v>
      </c>
      <c r="H8" s="5">
        <v>8.16</v>
      </c>
      <c r="I8" s="5">
        <v>1.24</v>
      </c>
      <c r="J8" s="5"/>
      <c r="K8" s="3" t="s">
        <v>106</v>
      </c>
      <c r="L8" s="3" t="s">
        <v>15</v>
      </c>
      <c r="M8" s="7">
        <v>1.0441142502332701</v>
      </c>
    </row>
    <row r="9" spans="1:13" x14ac:dyDescent="0.2">
      <c r="A9" s="4" t="s">
        <v>16</v>
      </c>
      <c r="B9" s="5">
        <v>9.33</v>
      </c>
      <c r="C9" s="5">
        <v>5.16</v>
      </c>
      <c r="D9" s="5">
        <v>7.72</v>
      </c>
      <c r="E9" s="5">
        <v>10.5</v>
      </c>
      <c r="F9" s="5">
        <v>8.25</v>
      </c>
      <c r="G9" s="5">
        <v>10.23</v>
      </c>
      <c r="H9" s="5">
        <v>8.5299999999999994</v>
      </c>
      <c r="I9" s="5">
        <v>1.8</v>
      </c>
      <c r="J9" s="5"/>
      <c r="K9" s="3" t="s">
        <v>107</v>
      </c>
      <c r="L9" s="3" t="s">
        <v>16</v>
      </c>
      <c r="M9" s="7">
        <v>1.0345188236648699</v>
      </c>
    </row>
    <row r="10" spans="1:13" x14ac:dyDescent="0.2">
      <c r="A10" s="4" t="s">
        <v>17</v>
      </c>
      <c r="B10" s="5">
        <v>10.050000000000001</v>
      </c>
      <c r="C10" s="5">
        <v>7.04</v>
      </c>
      <c r="D10" s="5">
        <v>10.07</v>
      </c>
      <c r="E10" s="5">
        <v>12.59</v>
      </c>
      <c r="F10" s="5">
        <v>9.67</v>
      </c>
      <c r="G10" s="5">
        <v>12.44</v>
      </c>
      <c r="H10" s="5">
        <v>10.31</v>
      </c>
      <c r="I10" s="5">
        <v>1.87</v>
      </c>
      <c r="J10" s="5"/>
      <c r="K10" s="3" t="s">
        <v>108</v>
      </c>
      <c r="L10" s="3" t="s">
        <v>17</v>
      </c>
      <c r="M10" s="7">
        <v>1.02981407885323</v>
      </c>
    </row>
    <row r="11" spans="1:13" x14ac:dyDescent="0.2">
      <c r="A11" s="4" t="s">
        <v>18</v>
      </c>
      <c r="B11" s="5">
        <v>9.58</v>
      </c>
      <c r="C11" s="5">
        <v>6.14</v>
      </c>
      <c r="D11" s="5">
        <v>8.67</v>
      </c>
      <c r="E11" s="5">
        <v>11.29</v>
      </c>
      <c r="F11" s="5">
        <v>10.97</v>
      </c>
      <c r="G11" s="5">
        <v>8.17</v>
      </c>
      <c r="H11" s="5">
        <v>9.14</v>
      </c>
      <c r="I11" s="5">
        <v>1.75</v>
      </c>
      <c r="J11" s="5"/>
      <c r="K11" s="3" t="s">
        <v>109</v>
      </c>
      <c r="L11" s="3" t="s">
        <v>18</v>
      </c>
      <c r="M11" s="7">
        <v>1.0293631977907201</v>
      </c>
    </row>
    <row r="12" spans="1:13" x14ac:dyDescent="0.2">
      <c r="A12" s="4" t="s">
        <v>19</v>
      </c>
      <c r="B12" s="5">
        <v>9.91</v>
      </c>
      <c r="C12" s="5">
        <v>6.44</v>
      </c>
      <c r="D12" s="5">
        <v>8.6300000000000008</v>
      </c>
      <c r="E12" s="5">
        <v>11.84</v>
      </c>
      <c r="F12" s="5">
        <v>9.4</v>
      </c>
      <c r="G12" s="5">
        <v>9.86</v>
      </c>
      <c r="H12" s="5">
        <v>9.35</v>
      </c>
      <c r="I12" s="5">
        <v>1.62</v>
      </c>
      <c r="J12" s="5"/>
      <c r="K12" s="3" t="s">
        <v>110</v>
      </c>
      <c r="L12" s="3" t="s">
        <v>19</v>
      </c>
      <c r="M12" s="7">
        <v>1.0226575605064001</v>
      </c>
    </row>
    <row r="13" spans="1:13" x14ac:dyDescent="0.2">
      <c r="A13" s="4" t="s">
        <v>20</v>
      </c>
      <c r="B13" s="5">
        <v>8.69</v>
      </c>
      <c r="C13" s="5">
        <v>6.11</v>
      </c>
      <c r="D13" s="5">
        <v>7.92</v>
      </c>
      <c r="E13" s="5">
        <v>12.68</v>
      </c>
      <c r="F13" s="5">
        <v>8.85</v>
      </c>
      <c r="G13" s="5">
        <v>8.16</v>
      </c>
      <c r="H13" s="5">
        <v>8.74</v>
      </c>
      <c r="I13" s="5">
        <v>1.98</v>
      </c>
      <c r="J13" s="5"/>
      <c r="K13" s="3" t="s">
        <v>111</v>
      </c>
      <c r="L13" s="3" t="s">
        <v>20</v>
      </c>
      <c r="M13" s="7">
        <v>1.02241079209313</v>
      </c>
    </row>
    <row r="14" spans="1:13" x14ac:dyDescent="0.2">
      <c r="A14" s="4" t="s">
        <v>21</v>
      </c>
      <c r="B14" s="5">
        <v>9.01</v>
      </c>
      <c r="C14" s="5">
        <v>7.74</v>
      </c>
      <c r="D14" s="5">
        <v>8.8800000000000008</v>
      </c>
      <c r="E14" s="5">
        <v>10.18</v>
      </c>
      <c r="F14" s="5">
        <v>8.76</v>
      </c>
      <c r="G14" s="5">
        <v>9.51</v>
      </c>
      <c r="H14" s="5">
        <v>9.01</v>
      </c>
      <c r="I14" s="5">
        <v>0.74</v>
      </c>
      <c r="J14" s="5"/>
      <c r="K14" s="3" t="s">
        <v>112</v>
      </c>
      <c r="L14" s="3" t="s">
        <v>21</v>
      </c>
      <c r="M14" s="7">
        <v>1.0201324749915801</v>
      </c>
    </row>
    <row r="15" spans="1:13" x14ac:dyDescent="0.2">
      <c r="A15" s="4" t="s">
        <v>22</v>
      </c>
      <c r="B15" s="5">
        <v>8.66</v>
      </c>
      <c r="C15" s="5">
        <v>7.71</v>
      </c>
      <c r="D15" s="5">
        <v>9.4</v>
      </c>
      <c r="E15" s="5">
        <v>11.89</v>
      </c>
      <c r="F15" s="5">
        <v>8.58</v>
      </c>
      <c r="G15" s="5">
        <v>9.25</v>
      </c>
      <c r="H15" s="5">
        <v>9.25</v>
      </c>
      <c r="I15" s="5">
        <v>1.3</v>
      </c>
      <c r="J15" s="5"/>
      <c r="K15" s="3" t="s">
        <v>113</v>
      </c>
      <c r="L15" s="3" t="s">
        <v>22</v>
      </c>
      <c r="M15" s="7">
        <v>1.0200485789524001</v>
      </c>
    </row>
    <row r="16" spans="1:13" x14ac:dyDescent="0.2">
      <c r="A16" s="4" t="s">
        <v>23</v>
      </c>
      <c r="B16" s="5">
        <v>8.6999999999999993</v>
      </c>
      <c r="C16" s="5">
        <v>6.55</v>
      </c>
      <c r="D16" s="5">
        <v>9.36</v>
      </c>
      <c r="E16" s="5">
        <v>9.33</v>
      </c>
      <c r="F16" s="5">
        <v>8.59</v>
      </c>
      <c r="G16" s="5">
        <v>12</v>
      </c>
      <c r="H16" s="5">
        <v>9.09</v>
      </c>
      <c r="I16" s="5">
        <v>1.6</v>
      </c>
      <c r="J16" s="5"/>
      <c r="K16" s="3" t="s">
        <v>114</v>
      </c>
      <c r="L16" s="3" t="s">
        <v>23</v>
      </c>
      <c r="M16" s="7">
        <v>1.0191015758022399</v>
      </c>
    </row>
    <row r="17" spans="1:13" x14ac:dyDescent="0.2">
      <c r="A17" s="4" t="s">
        <v>24</v>
      </c>
      <c r="B17" s="5">
        <v>7.08</v>
      </c>
      <c r="C17" s="5">
        <v>5.07</v>
      </c>
      <c r="D17" s="5">
        <v>7.42</v>
      </c>
      <c r="E17" s="5">
        <v>10.039999999999999</v>
      </c>
      <c r="F17" s="5">
        <v>7.76</v>
      </c>
      <c r="G17" s="5">
        <v>12.95</v>
      </c>
      <c r="H17" s="5">
        <v>8.39</v>
      </c>
      <c r="I17" s="5">
        <v>2.5</v>
      </c>
      <c r="J17" s="5"/>
      <c r="K17" s="3" t="s">
        <v>115</v>
      </c>
      <c r="L17" s="3" t="s">
        <v>24</v>
      </c>
      <c r="M17" s="7">
        <v>1.0176584696148001</v>
      </c>
    </row>
    <row r="18" spans="1:13" x14ac:dyDescent="0.2">
      <c r="A18" s="4" t="s">
        <v>25</v>
      </c>
      <c r="B18" s="5">
        <v>6.73</v>
      </c>
      <c r="C18" s="5">
        <v>4.4800000000000004</v>
      </c>
      <c r="D18" s="5">
        <v>7.15</v>
      </c>
      <c r="E18" s="5">
        <v>9.91</v>
      </c>
      <c r="F18" s="5">
        <v>8.14</v>
      </c>
      <c r="G18" s="5">
        <v>12.02</v>
      </c>
      <c r="H18" s="5">
        <v>8.07</v>
      </c>
      <c r="I18" s="5">
        <v>2.4</v>
      </c>
      <c r="J18" s="5"/>
      <c r="K18" s="3" t="s">
        <v>116</v>
      </c>
      <c r="L18" s="3" t="s">
        <v>25</v>
      </c>
      <c r="M18" s="7">
        <v>1.0158098031051801</v>
      </c>
    </row>
    <row r="19" spans="1:13" x14ac:dyDescent="0.2">
      <c r="A19" s="4" t="s">
        <v>26</v>
      </c>
      <c r="B19" s="5">
        <v>8.59</v>
      </c>
      <c r="C19" s="5">
        <v>6.61</v>
      </c>
      <c r="D19" s="5">
        <v>8.67</v>
      </c>
      <c r="E19" s="5">
        <v>9.25</v>
      </c>
      <c r="F19" s="5">
        <v>7.54</v>
      </c>
      <c r="G19" s="5">
        <v>9.7799999999999994</v>
      </c>
      <c r="H19" s="5">
        <v>8.41</v>
      </c>
      <c r="I19" s="5">
        <v>1.06</v>
      </c>
      <c r="J19" s="5"/>
      <c r="K19" s="3" t="s">
        <v>117</v>
      </c>
      <c r="L19" s="3" t="s">
        <v>26</v>
      </c>
      <c r="M19" s="7">
        <v>1.0151074343626501</v>
      </c>
    </row>
    <row r="20" spans="1:13" x14ac:dyDescent="0.2">
      <c r="A20" s="4" t="s">
        <v>27</v>
      </c>
      <c r="B20" s="5">
        <v>10.43</v>
      </c>
      <c r="C20" s="5">
        <v>7.7</v>
      </c>
      <c r="D20" s="5">
        <v>10</v>
      </c>
      <c r="E20" s="5">
        <v>10.1</v>
      </c>
      <c r="F20" s="5">
        <v>8.58</v>
      </c>
      <c r="G20" s="5">
        <v>11.84</v>
      </c>
      <c r="H20" s="5">
        <v>9.77</v>
      </c>
      <c r="I20" s="5">
        <v>1.33</v>
      </c>
      <c r="J20" s="5"/>
      <c r="K20" s="3" t="s">
        <v>118</v>
      </c>
      <c r="L20" s="3" t="s">
        <v>27</v>
      </c>
      <c r="M20" s="7">
        <v>1.0136075570437899</v>
      </c>
    </row>
    <row r="21" spans="1:13" x14ac:dyDescent="0.2">
      <c r="A21" s="4" t="s">
        <v>28</v>
      </c>
      <c r="B21" s="5">
        <v>2.02</v>
      </c>
      <c r="C21" s="5">
        <v>1.04</v>
      </c>
      <c r="D21" s="5">
        <v>3.43</v>
      </c>
      <c r="E21" s="5">
        <v>3.4</v>
      </c>
      <c r="F21" s="5">
        <v>3.41</v>
      </c>
      <c r="G21" s="5">
        <v>4.0199999999999996</v>
      </c>
      <c r="H21" s="5">
        <v>2.89</v>
      </c>
      <c r="I21" s="5">
        <v>1.02</v>
      </c>
      <c r="J21" s="5"/>
      <c r="K21" s="3" t="s">
        <v>119</v>
      </c>
      <c r="L21" s="3" t="s">
        <v>28</v>
      </c>
      <c r="M21" s="7">
        <v>1.01359321669818</v>
      </c>
    </row>
    <row r="22" spans="1:13" x14ac:dyDescent="0.2">
      <c r="A22" s="4" t="s">
        <v>29</v>
      </c>
      <c r="B22" s="5">
        <v>9.11</v>
      </c>
      <c r="C22" s="5">
        <v>5.72</v>
      </c>
      <c r="D22" s="5">
        <v>8.6300000000000008</v>
      </c>
      <c r="E22" s="5">
        <v>10.11</v>
      </c>
      <c r="F22" s="5">
        <v>9.0399999999999991</v>
      </c>
      <c r="G22" s="5">
        <v>9.18</v>
      </c>
      <c r="H22" s="5">
        <v>8.6300000000000008</v>
      </c>
      <c r="I22" s="5">
        <v>1.38</v>
      </c>
      <c r="J22" s="5"/>
      <c r="K22" s="3" t="s">
        <v>120</v>
      </c>
      <c r="L22" s="3" t="s">
        <v>29</v>
      </c>
      <c r="M22" s="7">
        <v>1.0131075303304999</v>
      </c>
    </row>
    <row r="23" spans="1:13" x14ac:dyDescent="0.2">
      <c r="A23" s="4" t="s">
        <v>30</v>
      </c>
      <c r="B23" s="5">
        <v>8.6999999999999993</v>
      </c>
      <c r="C23" s="5">
        <v>6.01</v>
      </c>
      <c r="D23" s="5">
        <v>10.24</v>
      </c>
      <c r="E23" s="5">
        <v>10.4</v>
      </c>
      <c r="F23" s="5">
        <v>9.3000000000000007</v>
      </c>
      <c r="G23" s="5">
        <v>10.52</v>
      </c>
      <c r="H23" s="5">
        <v>9.1999999999999993</v>
      </c>
      <c r="I23" s="5">
        <v>1.57</v>
      </c>
      <c r="J23" s="5"/>
      <c r="K23" s="3" t="s">
        <v>121</v>
      </c>
      <c r="L23" s="3" t="s">
        <v>30</v>
      </c>
      <c r="M23" s="7">
        <v>1.0115871444278399</v>
      </c>
    </row>
    <row r="24" spans="1:13" x14ac:dyDescent="0.2">
      <c r="A24" s="4" t="s">
        <v>31</v>
      </c>
      <c r="B24" s="5">
        <v>0.1</v>
      </c>
      <c r="C24" s="5">
        <v>0</v>
      </c>
      <c r="D24" s="5">
        <v>0.1</v>
      </c>
      <c r="E24" s="5">
        <v>0.04</v>
      </c>
      <c r="F24" s="5">
        <v>0.19</v>
      </c>
      <c r="G24" s="5">
        <v>0.14000000000000001</v>
      </c>
      <c r="H24" s="5">
        <v>0.1</v>
      </c>
      <c r="I24" s="5">
        <v>0.06</v>
      </c>
      <c r="J24" s="5"/>
      <c r="K24" s="3" t="s">
        <v>122</v>
      </c>
      <c r="L24" s="3" t="s">
        <v>31</v>
      </c>
      <c r="M24" s="7">
        <v>1.01100420930225</v>
      </c>
    </row>
    <row r="25" spans="1:13" x14ac:dyDescent="0.2">
      <c r="A25" s="4" t="s">
        <v>32</v>
      </c>
      <c r="B25" s="5">
        <v>8.02</v>
      </c>
      <c r="C25" s="5">
        <v>4.8899999999999997</v>
      </c>
      <c r="D25" s="5">
        <v>7.06</v>
      </c>
      <c r="E25" s="5">
        <v>7.55</v>
      </c>
      <c r="F25" s="5">
        <v>7.74</v>
      </c>
      <c r="G25" s="5">
        <v>8.16</v>
      </c>
      <c r="H25" s="5">
        <v>7.24</v>
      </c>
      <c r="I25" s="5">
        <v>1.1100000000000001</v>
      </c>
      <c r="J25" s="5"/>
      <c r="K25" s="3" t="s">
        <v>123</v>
      </c>
      <c r="L25" s="3" t="s">
        <v>32</v>
      </c>
      <c r="M25" s="7">
        <v>1.0109168211169399</v>
      </c>
    </row>
    <row r="26" spans="1:13" x14ac:dyDescent="0.2">
      <c r="A26" s="4" t="s">
        <v>33</v>
      </c>
      <c r="B26" s="5">
        <v>9.02</v>
      </c>
      <c r="C26" s="5">
        <v>5.81</v>
      </c>
      <c r="D26" s="5">
        <v>8.8800000000000008</v>
      </c>
      <c r="E26" s="5">
        <v>9.99</v>
      </c>
      <c r="F26" s="5">
        <v>8.68</v>
      </c>
      <c r="G26" s="5">
        <v>8.52</v>
      </c>
      <c r="H26" s="5">
        <v>8.48</v>
      </c>
      <c r="I26" s="5">
        <v>1.28</v>
      </c>
      <c r="J26" s="5"/>
      <c r="K26" s="3" t="s">
        <v>124</v>
      </c>
      <c r="L26" s="3" t="s">
        <v>33</v>
      </c>
      <c r="M26" s="7">
        <v>1.00980484646451</v>
      </c>
    </row>
    <row r="27" spans="1:13" x14ac:dyDescent="0.2">
      <c r="A27" s="4" t="s">
        <v>34</v>
      </c>
      <c r="B27" s="5">
        <v>2.44</v>
      </c>
      <c r="C27" s="5">
        <v>0.62</v>
      </c>
      <c r="D27" s="5">
        <v>0.96</v>
      </c>
      <c r="E27" s="5">
        <v>0.5</v>
      </c>
      <c r="F27" s="5">
        <v>8.35</v>
      </c>
      <c r="G27" s="5">
        <v>7.49</v>
      </c>
      <c r="H27" s="5">
        <v>0</v>
      </c>
      <c r="I27" s="5">
        <v>0</v>
      </c>
      <c r="J27" s="5"/>
      <c r="K27" s="3" t="s">
        <v>125</v>
      </c>
      <c r="L27" s="3" t="s">
        <v>34</v>
      </c>
      <c r="M27" s="7">
        <v>1.0094787491669099</v>
      </c>
    </row>
    <row r="28" spans="1:13" x14ac:dyDescent="0.2">
      <c r="A28" s="4" t="s">
        <v>35</v>
      </c>
      <c r="B28" s="5">
        <v>9.89</v>
      </c>
      <c r="C28" s="5">
        <v>7.64</v>
      </c>
      <c r="D28" s="5">
        <v>11.06</v>
      </c>
      <c r="E28" s="5">
        <v>9.58</v>
      </c>
      <c r="F28" s="5">
        <v>8.73</v>
      </c>
      <c r="G28" s="5">
        <v>13.89</v>
      </c>
      <c r="H28" s="5">
        <v>10.130000000000001</v>
      </c>
      <c r="I28" s="5">
        <v>1.98</v>
      </c>
      <c r="J28" s="5"/>
      <c r="K28" s="3" t="s">
        <v>126</v>
      </c>
      <c r="L28" s="3" t="s">
        <v>35</v>
      </c>
      <c r="M28" s="7">
        <v>1.00890451197917</v>
      </c>
    </row>
    <row r="29" spans="1:13" x14ac:dyDescent="0.2">
      <c r="A29" s="4" t="s">
        <v>36</v>
      </c>
      <c r="B29" s="5">
        <v>7.02</v>
      </c>
      <c r="C29" s="5">
        <v>5.5</v>
      </c>
      <c r="D29" s="5">
        <v>7.57</v>
      </c>
      <c r="E29" s="5">
        <v>7.69</v>
      </c>
      <c r="F29" s="5">
        <v>6.23</v>
      </c>
      <c r="G29" s="5">
        <v>10.25</v>
      </c>
      <c r="H29" s="5">
        <v>7.38</v>
      </c>
      <c r="I29" s="5">
        <v>1.49</v>
      </c>
      <c r="J29" s="5"/>
      <c r="K29" s="3" t="s">
        <v>127</v>
      </c>
      <c r="L29" s="3" t="s">
        <v>36</v>
      </c>
      <c r="M29" s="7">
        <v>1.0071370052395801</v>
      </c>
    </row>
    <row r="30" spans="1:13" x14ac:dyDescent="0.2">
      <c r="A30" s="4" t="s">
        <v>37</v>
      </c>
      <c r="B30" s="5">
        <v>0.14000000000000001</v>
      </c>
      <c r="C30" s="5">
        <v>0.09</v>
      </c>
      <c r="D30" s="5">
        <v>0.37</v>
      </c>
      <c r="E30" s="5">
        <v>0.25</v>
      </c>
      <c r="F30" s="5">
        <v>0.45</v>
      </c>
      <c r="G30" s="5">
        <v>0.51</v>
      </c>
      <c r="H30" s="5">
        <v>0.3</v>
      </c>
      <c r="I30" s="5">
        <v>0.15</v>
      </c>
      <c r="J30" s="5"/>
      <c r="K30" s="3" t="s">
        <v>128</v>
      </c>
      <c r="L30" s="3" t="s">
        <v>37</v>
      </c>
      <c r="M30" s="7">
        <v>1.0065757038720999</v>
      </c>
    </row>
    <row r="31" spans="1:13" x14ac:dyDescent="0.2">
      <c r="A31" s="4" t="s">
        <v>38</v>
      </c>
      <c r="B31" s="5">
        <v>5.5</v>
      </c>
      <c r="C31" s="5">
        <v>3.6</v>
      </c>
      <c r="D31" s="5">
        <v>6.06</v>
      </c>
      <c r="E31" s="5">
        <v>7.66</v>
      </c>
      <c r="F31" s="5">
        <v>7</v>
      </c>
      <c r="G31" s="5">
        <v>9.84</v>
      </c>
      <c r="H31" s="5">
        <v>6.61</v>
      </c>
      <c r="I31" s="5">
        <v>1.93</v>
      </c>
      <c r="J31" s="5"/>
      <c r="K31" s="3" t="s">
        <v>129</v>
      </c>
      <c r="L31" s="3" t="s">
        <v>38</v>
      </c>
      <c r="M31" s="7">
        <v>1.0064742933920301</v>
      </c>
    </row>
    <row r="32" spans="1:13" x14ac:dyDescent="0.2">
      <c r="A32" s="4" t="s">
        <v>39</v>
      </c>
      <c r="B32" s="5">
        <v>8.5500000000000007</v>
      </c>
      <c r="C32" s="5">
        <v>6.77</v>
      </c>
      <c r="D32" s="5">
        <v>8.94</v>
      </c>
      <c r="E32" s="5">
        <v>7.76</v>
      </c>
      <c r="F32" s="5">
        <v>8.81</v>
      </c>
      <c r="G32" s="5">
        <v>8.74</v>
      </c>
      <c r="H32" s="5">
        <v>8.26</v>
      </c>
      <c r="I32" s="5">
        <v>0.77</v>
      </c>
      <c r="J32" s="5"/>
      <c r="K32" s="3" t="s">
        <v>130</v>
      </c>
      <c r="L32" s="3" t="s">
        <v>39</v>
      </c>
      <c r="M32" s="7">
        <v>1.00519450580419</v>
      </c>
    </row>
    <row r="33" spans="1:13" x14ac:dyDescent="0.2">
      <c r="A33" s="4" t="s">
        <v>40</v>
      </c>
      <c r="B33" s="5">
        <v>8.6300000000000008</v>
      </c>
      <c r="C33" s="5">
        <v>6.54</v>
      </c>
      <c r="D33" s="5">
        <v>8.5500000000000007</v>
      </c>
      <c r="E33" s="5">
        <v>8.7100000000000009</v>
      </c>
      <c r="F33" s="5">
        <v>9.85</v>
      </c>
      <c r="G33" s="5">
        <v>6.69</v>
      </c>
      <c r="H33" s="5">
        <v>8.16</v>
      </c>
      <c r="I33" s="5">
        <v>1.18</v>
      </c>
      <c r="J33" s="5"/>
      <c r="K33" s="3" t="s">
        <v>131</v>
      </c>
      <c r="L33" s="3" t="s">
        <v>40</v>
      </c>
      <c r="M33" s="7">
        <v>1.0042864031871199</v>
      </c>
    </row>
    <row r="34" spans="1:13" x14ac:dyDescent="0.2">
      <c r="A34" s="4" t="s">
        <v>41</v>
      </c>
      <c r="B34" s="5">
        <v>3.66</v>
      </c>
      <c r="C34" s="5">
        <v>1.96</v>
      </c>
      <c r="D34" s="5">
        <v>5.7</v>
      </c>
      <c r="E34" s="5">
        <v>5.96</v>
      </c>
      <c r="F34" s="5">
        <v>6.49</v>
      </c>
      <c r="G34" s="5">
        <v>5.67</v>
      </c>
      <c r="H34" s="5">
        <v>4.91</v>
      </c>
      <c r="I34" s="5">
        <v>1.58</v>
      </c>
      <c r="J34" s="5"/>
      <c r="K34" s="3" t="s">
        <v>132</v>
      </c>
      <c r="L34" s="3" t="s">
        <v>41</v>
      </c>
      <c r="M34" s="7">
        <v>1.0013331561063701</v>
      </c>
    </row>
    <row r="35" spans="1:13" x14ac:dyDescent="0.2">
      <c r="A35" s="4" t="s">
        <v>42</v>
      </c>
      <c r="B35" s="5">
        <v>7.38</v>
      </c>
      <c r="C35" s="5">
        <v>5.59</v>
      </c>
      <c r="D35" s="5">
        <v>7.05</v>
      </c>
      <c r="E35" s="5">
        <v>8.58</v>
      </c>
      <c r="F35" s="5">
        <v>7.6</v>
      </c>
      <c r="G35" s="5">
        <v>7.24</v>
      </c>
      <c r="H35" s="5">
        <v>7.24</v>
      </c>
      <c r="I35" s="5">
        <v>0.89</v>
      </c>
      <c r="J35" s="5"/>
      <c r="K35" s="3" t="s">
        <v>133</v>
      </c>
      <c r="L35" s="3" t="s">
        <v>42</v>
      </c>
      <c r="M35" s="7">
        <v>1.00080867195106</v>
      </c>
    </row>
    <row r="36" spans="1:13" x14ac:dyDescent="0.2">
      <c r="A36" s="4" t="s">
        <v>43</v>
      </c>
      <c r="B36" s="5">
        <v>7.18</v>
      </c>
      <c r="C36" s="5">
        <v>5.17</v>
      </c>
      <c r="D36" s="5">
        <v>7.62</v>
      </c>
      <c r="E36" s="5">
        <v>9.42</v>
      </c>
      <c r="F36" s="5">
        <v>6.36</v>
      </c>
      <c r="G36" s="5">
        <v>6.8</v>
      </c>
      <c r="H36" s="5">
        <v>7.09</v>
      </c>
      <c r="I36" s="5">
        <v>1.29</v>
      </c>
      <c r="J36" s="5"/>
      <c r="K36" s="3" t="s">
        <v>134</v>
      </c>
      <c r="L36" s="3" t="s">
        <v>43</v>
      </c>
      <c r="M36" s="7">
        <v>0.995185955424984</v>
      </c>
    </row>
    <row r="37" spans="1:13" x14ac:dyDescent="0.2">
      <c r="A37" s="4" t="s">
        <v>44</v>
      </c>
      <c r="B37" s="5">
        <v>7.65</v>
      </c>
      <c r="C37" s="5">
        <v>5.66</v>
      </c>
      <c r="D37" s="5">
        <v>8.31</v>
      </c>
      <c r="E37" s="5">
        <v>9.91</v>
      </c>
      <c r="F37" s="5">
        <v>7.74</v>
      </c>
      <c r="G37" s="5">
        <v>12.05</v>
      </c>
      <c r="H37" s="5">
        <v>8.5500000000000007</v>
      </c>
      <c r="I37" s="5">
        <v>2</v>
      </c>
      <c r="J37" s="5"/>
      <c r="K37" s="3" t="s">
        <v>135</v>
      </c>
      <c r="L37" s="3" t="s">
        <v>44</v>
      </c>
      <c r="M37" s="7">
        <v>0.99435054826154801</v>
      </c>
    </row>
    <row r="38" spans="1:13" x14ac:dyDescent="0.2">
      <c r="A38" s="4" t="s">
        <v>45</v>
      </c>
      <c r="B38" s="5">
        <v>6.88</v>
      </c>
      <c r="C38" s="5">
        <v>5.65</v>
      </c>
      <c r="D38" s="5">
        <v>8.06</v>
      </c>
      <c r="E38" s="5">
        <v>8.68</v>
      </c>
      <c r="F38" s="5">
        <v>7.88</v>
      </c>
      <c r="G38" s="5">
        <v>11.04</v>
      </c>
      <c r="H38" s="5">
        <v>8.0299999999999994</v>
      </c>
      <c r="I38" s="5">
        <v>1.66</v>
      </c>
      <c r="J38" s="5"/>
      <c r="K38" s="3" t="s">
        <v>136</v>
      </c>
      <c r="L38" s="3" t="s">
        <v>45</v>
      </c>
      <c r="M38" s="7">
        <v>0.99322980585459597</v>
      </c>
    </row>
    <row r="39" spans="1:13" x14ac:dyDescent="0.2">
      <c r="A39" s="4" t="s">
        <v>46</v>
      </c>
      <c r="B39" s="5">
        <v>8.4499999999999993</v>
      </c>
      <c r="C39" s="5">
        <v>6.45</v>
      </c>
      <c r="D39" s="5">
        <v>7.16</v>
      </c>
      <c r="E39" s="5">
        <v>7.98</v>
      </c>
      <c r="F39" s="5">
        <v>8.42</v>
      </c>
      <c r="G39" s="5">
        <v>9.2799999999999994</v>
      </c>
      <c r="H39" s="5">
        <v>7.96</v>
      </c>
      <c r="I39" s="5">
        <v>0.92</v>
      </c>
      <c r="J39" s="5"/>
      <c r="K39" s="3" t="s">
        <v>137</v>
      </c>
      <c r="L39" s="3" t="s">
        <v>46</v>
      </c>
      <c r="M39" s="7">
        <v>0.993226387399607</v>
      </c>
    </row>
    <row r="40" spans="1:13" x14ac:dyDescent="0.2">
      <c r="A40" s="4" t="s">
        <v>47</v>
      </c>
      <c r="B40" s="5">
        <v>9.85</v>
      </c>
      <c r="C40" s="5">
        <v>8.6199999999999992</v>
      </c>
      <c r="D40" s="5">
        <v>11.72</v>
      </c>
      <c r="E40" s="5">
        <v>9.82</v>
      </c>
      <c r="F40" s="5">
        <v>11.98</v>
      </c>
      <c r="G40" s="5">
        <v>14.48</v>
      </c>
      <c r="H40" s="5">
        <v>11.08</v>
      </c>
      <c r="I40" s="5">
        <v>1.91</v>
      </c>
      <c r="J40" s="5"/>
      <c r="K40" s="3" t="s">
        <v>138</v>
      </c>
      <c r="L40" s="3" t="s">
        <v>47</v>
      </c>
      <c r="M40" s="7">
        <v>0.99308209692845395</v>
      </c>
    </row>
    <row r="41" spans="1:13" x14ac:dyDescent="0.2">
      <c r="A41" s="4" t="s">
        <v>48</v>
      </c>
      <c r="B41" s="5">
        <v>7.96</v>
      </c>
      <c r="C41" s="5">
        <v>6.33</v>
      </c>
      <c r="D41" s="5">
        <v>7.79</v>
      </c>
      <c r="E41" s="5">
        <v>8.44</v>
      </c>
      <c r="F41" s="5">
        <v>7.52</v>
      </c>
      <c r="G41" s="5">
        <v>10.48</v>
      </c>
      <c r="H41" s="5">
        <v>8.09</v>
      </c>
      <c r="I41" s="5">
        <v>1.25</v>
      </c>
      <c r="J41" s="5"/>
      <c r="K41" s="3" t="s">
        <v>139</v>
      </c>
      <c r="L41" s="3" t="s">
        <v>48</v>
      </c>
      <c r="M41" s="7">
        <v>0.99246580652000504</v>
      </c>
    </row>
    <row r="42" spans="1:13" x14ac:dyDescent="0.2">
      <c r="A42" s="4" t="s">
        <v>49</v>
      </c>
      <c r="B42" s="5">
        <v>6.33</v>
      </c>
      <c r="C42" s="5">
        <v>5.0999999999999996</v>
      </c>
      <c r="D42" s="5">
        <v>8.73</v>
      </c>
      <c r="E42" s="5">
        <v>8.2200000000000006</v>
      </c>
      <c r="F42" s="5">
        <v>6.86</v>
      </c>
      <c r="G42" s="5">
        <v>10.24</v>
      </c>
      <c r="H42" s="5">
        <v>7.58</v>
      </c>
      <c r="I42" s="5">
        <v>1.69</v>
      </c>
      <c r="J42" s="5"/>
      <c r="K42" s="3" t="s">
        <v>140</v>
      </c>
      <c r="L42" s="3" t="s">
        <v>49</v>
      </c>
      <c r="M42" s="7">
        <v>0.99207680678880195</v>
      </c>
    </row>
    <row r="43" spans="1:13" x14ac:dyDescent="0.2">
      <c r="A43" s="4" t="s">
        <v>50</v>
      </c>
      <c r="B43" s="5">
        <v>9.43</v>
      </c>
      <c r="C43" s="5">
        <v>7.24</v>
      </c>
      <c r="D43" s="5">
        <v>10.95</v>
      </c>
      <c r="E43" s="5">
        <v>10.72</v>
      </c>
      <c r="F43" s="5">
        <v>6.54</v>
      </c>
      <c r="G43" s="5">
        <v>11.07</v>
      </c>
      <c r="H43" s="5">
        <v>9.33</v>
      </c>
      <c r="I43" s="5">
        <v>1.81</v>
      </c>
      <c r="J43" s="5"/>
      <c r="K43" s="3" t="s">
        <v>141</v>
      </c>
      <c r="L43" s="3" t="s">
        <v>50</v>
      </c>
      <c r="M43" s="7">
        <v>0.99169499853518295</v>
      </c>
    </row>
    <row r="44" spans="1:13" x14ac:dyDescent="0.2">
      <c r="A44" s="4" t="s">
        <v>51</v>
      </c>
      <c r="B44" s="5">
        <v>0.4</v>
      </c>
      <c r="C44" s="5">
        <v>0.26</v>
      </c>
      <c r="D44" s="5">
        <v>0.87</v>
      </c>
      <c r="E44" s="5">
        <v>0.78</v>
      </c>
      <c r="F44" s="5">
        <v>1.1000000000000001</v>
      </c>
      <c r="G44" s="5">
        <v>1.1100000000000001</v>
      </c>
      <c r="H44" s="5">
        <v>0.75</v>
      </c>
      <c r="I44" s="5">
        <v>0.32</v>
      </c>
      <c r="J44" s="5"/>
      <c r="K44" s="3" t="s">
        <v>142</v>
      </c>
      <c r="L44" s="3" t="s">
        <v>51</v>
      </c>
      <c r="M44" s="7">
        <v>0.99089814864618597</v>
      </c>
    </row>
    <row r="45" spans="1:13" x14ac:dyDescent="0.2">
      <c r="A45" s="4" t="s">
        <v>52</v>
      </c>
      <c r="B45" s="5">
        <v>7.77</v>
      </c>
      <c r="C45" s="5">
        <v>5.7</v>
      </c>
      <c r="D45" s="5">
        <v>8.3800000000000008</v>
      </c>
      <c r="E45" s="5">
        <v>9.1999999999999993</v>
      </c>
      <c r="F45" s="5">
        <v>6.36</v>
      </c>
      <c r="G45" s="5">
        <v>8.27</v>
      </c>
      <c r="H45" s="5">
        <v>7.61</v>
      </c>
      <c r="I45" s="5">
        <v>1.21</v>
      </c>
      <c r="J45" s="5"/>
      <c r="K45" s="3" t="s">
        <v>143</v>
      </c>
      <c r="L45" s="3" t="s">
        <v>52</v>
      </c>
      <c r="M45" s="7">
        <v>0.99085014706156005</v>
      </c>
    </row>
    <row r="46" spans="1:13" x14ac:dyDescent="0.2">
      <c r="A46" s="4" t="s">
        <v>53</v>
      </c>
      <c r="B46" s="5">
        <v>7.62</v>
      </c>
      <c r="C46" s="5">
        <v>5.41</v>
      </c>
      <c r="D46" s="5">
        <v>7.09</v>
      </c>
      <c r="E46" s="5">
        <v>7.51</v>
      </c>
      <c r="F46" s="5">
        <v>5.68</v>
      </c>
      <c r="G46" s="5">
        <v>8.89</v>
      </c>
      <c r="H46" s="5">
        <v>7.03</v>
      </c>
      <c r="I46" s="5">
        <v>1.19</v>
      </c>
      <c r="J46" s="5"/>
      <c r="K46" s="3" t="s">
        <v>144</v>
      </c>
      <c r="L46" s="3" t="s">
        <v>53</v>
      </c>
      <c r="M46" s="7">
        <v>0.989590001440533</v>
      </c>
    </row>
    <row r="47" spans="1:13" x14ac:dyDescent="0.2">
      <c r="A47" s="4" t="s">
        <v>54</v>
      </c>
      <c r="B47" s="5">
        <v>6.2</v>
      </c>
      <c r="C47" s="5">
        <v>4.5999999999999996</v>
      </c>
      <c r="D47" s="5">
        <v>7.55</v>
      </c>
      <c r="E47" s="5">
        <v>7.65</v>
      </c>
      <c r="F47" s="5">
        <v>6.77</v>
      </c>
      <c r="G47" s="5">
        <v>6.85</v>
      </c>
      <c r="H47" s="5">
        <v>6.6</v>
      </c>
      <c r="I47" s="5">
        <v>1.02</v>
      </c>
      <c r="J47" s="5"/>
      <c r="K47" s="3" t="s">
        <v>145</v>
      </c>
      <c r="L47" s="3" t="s">
        <v>54</v>
      </c>
      <c r="M47" s="7">
        <v>0.98606333381591504</v>
      </c>
    </row>
    <row r="48" spans="1:13" x14ac:dyDescent="0.2">
      <c r="A48" s="4" t="s">
        <v>55</v>
      </c>
      <c r="B48" s="5">
        <v>2.23</v>
      </c>
      <c r="C48" s="5">
        <v>1.61</v>
      </c>
      <c r="D48" s="5">
        <v>3.07</v>
      </c>
      <c r="E48" s="5">
        <v>3</v>
      </c>
      <c r="F48" s="5">
        <v>3.93</v>
      </c>
      <c r="G48" s="5">
        <v>2.87</v>
      </c>
      <c r="H48" s="5">
        <v>2.78</v>
      </c>
      <c r="I48" s="5">
        <v>0.72</v>
      </c>
      <c r="J48" s="5"/>
      <c r="K48" s="3" t="s">
        <v>146</v>
      </c>
      <c r="L48" s="3" t="s">
        <v>55</v>
      </c>
      <c r="M48" s="7">
        <v>0.98606106354175704</v>
      </c>
    </row>
    <row r="49" spans="1:13" x14ac:dyDescent="0.2">
      <c r="A49" s="4" t="s">
        <v>56</v>
      </c>
      <c r="B49" s="5">
        <v>8.16</v>
      </c>
      <c r="C49" s="5">
        <v>6.45</v>
      </c>
      <c r="D49" s="5">
        <v>8.42</v>
      </c>
      <c r="E49" s="5">
        <v>9.42</v>
      </c>
      <c r="F49" s="5">
        <v>6.4</v>
      </c>
      <c r="G49" s="5">
        <v>8.4700000000000006</v>
      </c>
      <c r="H49" s="5">
        <v>7.89</v>
      </c>
      <c r="I49" s="5">
        <v>1.1000000000000001</v>
      </c>
      <c r="J49" s="5"/>
      <c r="K49" s="3" t="s">
        <v>147</v>
      </c>
      <c r="L49" s="3" t="s">
        <v>56</v>
      </c>
      <c r="M49" s="7">
        <v>0.98524514171726196</v>
      </c>
    </row>
    <row r="50" spans="1:13" x14ac:dyDescent="0.2">
      <c r="A50" s="4" t="s">
        <v>57</v>
      </c>
      <c r="B50" s="5">
        <v>7.56</v>
      </c>
      <c r="C50" s="5">
        <v>6.74</v>
      </c>
      <c r="D50" s="5">
        <v>7.28</v>
      </c>
      <c r="E50" s="5">
        <v>10.49</v>
      </c>
      <c r="F50" s="5">
        <v>6.85</v>
      </c>
      <c r="G50" s="5">
        <v>11.25</v>
      </c>
      <c r="H50" s="5">
        <v>8.36</v>
      </c>
      <c r="I50" s="5">
        <v>1.81</v>
      </c>
      <c r="J50" s="5"/>
      <c r="K50" s="3" t="s">
        <v>148</v>
      </c>
      <c r="L50" s="3" t="s">
        <v>57</v>
      </c>
      <c r="M50" s="7">
        <v>0.98443659081152102</v>
      </c>
    </row>
    <row r="51" spans="1:13" x14ac:dyDescent="0.2">
      <c r="A51" s="4" t="s">
        <v>58</v>
      </c>
      <c r="B51" s="5">
        <v>6.64</v>
      </c>
      <c r="C51" s="5">
        <v>6.01</v>
      </c>
      <c r="D51" s="5">
        <v>9.07</v>
      </c>
      <c r="E51" s="5">
        <v>10.44</v>
      </c>
      <c r="F51" s="5">
        <v>7.11</v>
      </c>
      <c r="G51" s="5">
        <v>7</v>
      </c>
      <c r="H51" s="5">
        <v>7.71</v>
      </c>
      <c r="I51" s="5">
        <v>1.54</v>
      </c>
      <c r="J51" s="5"/>
      <c r="K51" s="3" t="s">
        <v>149</v>
      </c>
      <c r="L51" s="3" t="s">
        <v>58</v>
      </c>
      <c r="M51" s="7">
        <v>0.98239079067610202</v>
      </c>
    </row>
    <row r="52" spans="1:13" x14ac:dyDescent="0.2">
      <c r="A52" s="4" t="s">
        <v>59</v>
      </c>
      <c r="B52" s="5">
        <v>5.28</v>
      </c>
      <c r="C52" s="5">
        <v>5.49</v>
      </c>
      <c r="D52" s="5">
        <v>6.11</v>
      </c>
      <c r="E52" s="5">
        <v>7.32</v>
      </c>
      <c r="F52" s="5">
        <v>6.42</v>
      </c>
      <c r="G52" s="5">
        <v>9.4</v>
      </c>
      <c r="H52" s="5">
        <v>6.67</v>
      </c>
      <c r="I52" s="5">
        <v>1.39</v>
      </c>
      <c r="J52" s="5"/>
      <c r="K52" s="3" t="s">
        <v>150</v>
      </c>
      <c r="L52" s="3" t="s">
        <v>59</v>
      </c>
      <c r="M52" s="7">
        <v>0.98209715738391401</v>
      </c>
    </row>
    <row r="53" spans="1:13" x14ac:dyDescent="0.2">
      <c r="A53" s="4" t="s">
        <v>60</v>
      </c>
      <c r="B53" s="5">
        <v>6.41</v>
      </c>
      <c r="C53" s="5">
        <v>5.72</v>
      </c>
      <c r="D53" s="5">
        <v>9.18</v>
      </c>
      <c r="E53" s="5">
        <v>7.46</v>
      </c>
      <c r="F53" s="5">
        <v>7.4</v>
      </c>
      <c r="G53" s="5">
        <v>10.58</v>
      </c>
      <c r="H53" s="5">
        <v>7.79</v>
      </c>
      <c r="I53" s="5">
        <v>1.64</v>
      </c>
      <c r="J53" s="5"/>
      <c r="K53" s="3" t="s">
        <v>151</v>
      </c>
      <c r="L53" s="3" t="s">
        <v>60</v>
      </c>
      <c r="M53" s="7">
        <v>0.98118911296535205</v>
      </c>
    </row>
    <row r="54" spans="1:13" x14ac:dyDescent="0.2">
      <c r="A54" s="4" t="s">
        <v>61</v>
      </c>
      <c r="B54" s="5">
        <v>8</v>
      </c>
      <c r="C54" s="5">
        <v>7.09</v>
      </c>
      <c r="D54" s="5">
        <v>9.18</v>
      </c>
      <c r="E54" s="5">
        <v>9.25</v>
      </c>
      <c r="F54" s="5">
        <v>9.02</v>
      </c>
      <c r="G54" s="5">
        <v>10.76</v>
      </c>
      <c r="H54" s="5">
        <v>8.8800000000000008</v>
      </c>
      <c r="I54" s="5">
        <v>1.1399999999999999</v>
      </c>
      <c r="J54" s="5"/>
      <c r="K54" s="3" t="s">
        <v>152</v>
      </c>
      <c r="L54" s="3" t="s">
        <v>61</v>
      </c>
      <c r="M54" s="7">
        <v>0.94088450286107295</v>
      </c>
    </row>
    <row r="55" spans="1:13" x14ac:dyDescent="0.2">
      <c r="A55" s="4" t="s">
        <v>62</v>
      </c>
      <c r="B55" s="5">
        <v>10.5</v>
      </c>
      <c r="C55" s="5">
        <v>7.71</v>
      </c>
      <c r="D55" s="5">
        <v>9.2200000000000006</v>
      </c>
      <c r="E55" s="5">
        <v>10.46</v>
      </c>
      <c r="F55" s="5">
        <v>8.6</v>
      </c>
      <c r="G55" s="5">
        <v>11.7</v>
      </c>
      <c r="H55" s="5">
        <v>9.6999999999999993</v>
      </c>
      <c r="I55" s="5">
        <v>1.33</v>
      </c>
      <c r="J55" s="5"/>
      <c r="K55" s="3" t="s">
        <v>153</v>
      </c>
      <c r="L55" s="3" t="s">
        <v>62</v>
      </c>
      <c r="M55" s="7">
        <v>0.97948007930908998</v>
      </c>
    </row>
    <row r="56" spans="1:13" x14ac:dyDescent="0.2">
      <c r="A56" s="4" t="s">
        <v>63</v>
      </c>
      <c r="B56" s="5">
        <v>7.09</v>
      </c>
      <c r="C56" s="5">
        <v>5.01</v>
      </c>
      <c r="D56" s="5">
        <v>9.0500000000000007</v>
      </c>
      <c r="E56" s="5">
        <v>8.48</v>
      </c>
      <c r="F56" s="5">
        <v>6.64</v>
      </c>
      <c r="G56" s="5">
        <v>6.14</v>
      </c>
      <c r="H56" s="5">
        <v>7.07</v>
      </c>
      <c r="I56" s="5">
        <v>1.37</v>
      </c>
      <c r="J56" s="5"/>
      <c r="K56" s="3" t="s">
        <v>154</v>
      </c>
      <c r="L56" s="3" t="s">
        <v>63</v>
      </c>
      <c r="M56" s="7">
        <v>0.97912104193133798</v>
      </c>
    </row>
    <row r="57" spans="1:13" x14ac:dyDescent="0.2">
      <c r="A57" s="4" t="s">
        <v>64</v>
      </c>
      <c r="B57" s="5">
        <v>7.74</v>
      </c>
      <c r="C57" s="5">
        <v>6.14</v>
      </c>
      <c r="D57" s="5">
        <v>7.04</v>
      </c>
      <c r="E57" s="5">
        <v>8.41</v>
      </c>
      <c r="F57" s="5">
        <v>7.22</v>
      </c>
      <c r="G57" s="5">
        <v>6.47</v>
      </c>
      <c r="H57" s="5">
        <v>7.17</v>
      </c>
      <c r="I57" s="5">
        <v>0.76</v>
      </c>
      <c r="J57" s="5"/>
      <c r="K57" s="3" t="s">
        <v>155</v>
      </c>
      <c r="L57" s="3" t="s">
        <v>64</v>
      </c>
      <c r="M57" s="7">
        <v>0.97813452385989497</v>
      </c>
    </row>
    <row r="58" spans="1:13" x14ac:dyDescent="0.2">
      <c r="A58" s="4" t="s">
        <v>65</v>
      </c>
      <c r="B58" s="5">
        <v>8.33</v>
      </c>
      <c r="C58" s="5">
        <v>6.44</v>
      </c>
      <c r="D58" s="5">
        <v>8.93</v>
      </c>
      <c r="E58" s="5">
        <v>9.15</v>
      </c>
      <c r="F58" s="5">
        <v>8.9</v>
      </c>
      <c r="G58" s="5">
        <v>7.19</v>
      </c>
      <c r="H58" s="5">
        <v>8.16</v>
      </c>
      <c r="I58" s="5">
        <v>1</v>
      </c>
      <c r="J58" s="5"/>
      <c r="K58" s="3" t="s">
        <v>156</v>
      </c>
      <c r="L58" s="3" t="s">
        <v>65</v>
      </c>
      <c r="M58" s="7">
        <v>0.97784155372227699</v>
      </c>
    </row>
    <row r="59" spans="1:13" x14ac:dyDescent="0.2">
      <c r="A59" s="4" t="s">
        <v>66</v>
      </c>
      <c r="B59" s="5">
        <v>7.15</v>
      </c>
      <c r="C59" s="5">
        <v>5.3</v>
      </c>
      <c r="D59" s="5">
        <v>9.69</v>
      </c>
      <c r="E59" s="5">
        <v>11.63</v>
      </c>
      <c r="F59" s="5">
        <v>8.27</v>
      </c>
      <c r="G59" s="5">
        <v>8.15</v>
      </c>
      <c r="H59" s="5">
        <v>8.36</v>
      </c>
      <c r="I59" s="5">
        <v>1.97</v>
      </c>
      <c r="J59" s="5"/>
      <c r="K59" s="3" t="s">
        <v>157</v>
      </c>
      <c r="L59" s="3" t="s">
        <v>66</v>
      </c>
      <c r="M59" s="7">
        <v>0.97698278951328499</v>
      </c>
    </row>
    <row r="60" spans="1:13" x14ac:dyDescent="0.2">
      <c r="A60" s="4" t="s">
        <v>67</v>
      </c>
      <c r="B60" s="5">
        <v>6.11</v>
      </c>
      <c r="C60" s="5">
        <v>4.1500000000000004</v>
      </c>
      <c r="D60" s="5">
        <v>5.57</v>
      </c>
      <c r="E60" s="5">
        <v>7.5</v>
      </c>
      <c r="F60" s="5">
        <v>6.25</v>
      </c>
      <c r="G60" s="5">
        <v>5.72</v>
      </c>
      <c r="H60" s="5">
        <v>5.88</v>
      </c>
      <c r="I60" s="5">
        <v>0.99</v>
      </c>
      <c r="J60" s="5"/>
      <c r="K60" s="3" t="s">
        <v>158</v>
      </c>
      <c r="L60" s="3" t="s">
        <v>67</v>
      </c>
      <c r="M60" s="7">
        <v>0.97606310077973202</v>
      </c>
    </row>
    <row r="61" spans="1:13" x14ac:dyDescent="0.2">
      <c r="A61" s="4" t="s">
        <v>68</v>
      </c>
      <c r="B61" s="5">
        <v>6.24</v>
      </c>
      <c r="C61" s="5">
        <v>5.35</v>
      </c>
      <c r="D61" s="5">
        <v>7.44</v>
      </c>
      <c r="E61" s="5">
        <v>7.63</v>
      </c>
      <c r="F61" s="5">
        <v>7.61</v>
      </c>
      <c r="G61" s="5">
        <v>8.36</v>
      </c>
      <c r="H61" s="5">
        <v>7.1</v>
      </c>
      <c r="I61" s="5">
        <v>1</v>
      </c>
      <c r="J61" s="5"/>
      <c r="K61" s="3" t="s">
        <v>159</v>
      </c>
      <c r="L61" s="3" t="s">
        <v>68</v>
      </c>
      <c r="M61" s="7">
        <v>0.975667207008168</v>
      </c>
    </row>
    <row r="62" spans="1:13" x14ac:dyDescent="0.2">
      <c r="A62" s="4" t="s">
        <v>69</v>
      </c>
      <c r="B62" s="5">
        <v>7.1</v>
      </c>
      <c r="C62" s="5">
        <v>6.37</v>
      </c>
      <c r="D62" s="5">
        <v>8.7100000000000009</v>
      </c>
      <c r="E62" s="5">
        <v>9.9499999999999993</v>
      </c>
      <c r="F62" s="5">
        <v>7.23</v>
      </c>
      <c r="G62" s="5">
        <v>9.6</v>
      </c>
      <c r="H62" s="5">
        <v>8.16</v>
      </c>
      <c r="I62" s="5">
        <v>1.34</v>
      </c>
      <c r="J62" s="5"/>
      <c r="K62" s="3" t="s">
        <v>160</v>
      </c>
      <c r="L62" s="3" t="s">
        <v>69</v>
      </c>
      <c r="M62" s="7">
        <v>0.97419060943312097</v>
      </c>
    </row>
    <row r="63" spans="1:13" x14ac:dyDescent="0.2">
      <c r="A63" s="4" t="s">
        <v>70</v>
      </c>
      <c r="B63" s="5">
        <v>8.9700000000000006</v>
      </c>
      <c r="C63" s="5">
        <v>9.0299999999999994</v>
      </c>
      <c r="D63" s="5">
        <v>10.23</v>
      </c>
      <c r="E63" s="5">
        <v>12.57</v>
      </c>
      <c r="F63" s="5">
        <v>9.48</v>
      </c>
      <c r="G63" s="5">
        <v>10.83</v>
      </c>
      <c r="H63" s="5">
        <v>10.18</v>
      </c>
      <c r="I63" s="5">
        <v>1.25</v>
      </c>
      <c r="J63" s="5"/>
      <c r="K63" s="3" t="s">
        <v>161</v>
      </c>
      <c r="L63" s="3" t="s">
        <v>70</v>
      </c>
      <c r="M63" s="7">
        <v>0.971801551628658</v>
      </c>
    </row>
    <row r="64" spans="1:13" x14ac:dyDescent="0.2">
      <c r="A64" s="4" t="s">
        <v>71</v>
      </c>
      <c r="B64" s="5">
        <v>3.78</v>
      </c>
      <c r="C64" s="5">
        <v>6.09</v>
      </c>
      <c r="D64" s="5">
        <v>8.0399999999999991</v>
      </c>
      <c r="E64" s="5">
        <v>9.67</v>
      </c>
      <c r="F64" s="5">
        <v>10.78</v>
      </c>
      <c r="G64" s="5">
        <v>13.7</v>
      </c>
      <c r="H64" s="5">
        <v>8.68</v>
      </c>
      <c r="I64" s="5">
        <v>3.21</v>
      </c>
      <c r="J64" s="5"/>
      <c r="K64" s="3" t="s">
        <v>162</v>
      </c>
      <c r="L64" s="3" t="s">
        <v>71</v>
      </c>
      <c r="M64" s="7">
        <v>0.970948732909103</v>
      </c>
    </row>
    <row r="65" spans="1:13" x14ac:dyDescent="0.2">
      <c r="A65" s="4" t="s">
        <v>72</v>
      </c>
      <c r="B65" s="5">
        <v>8.75</v>
      </c>
      <c r="C65" s="5">
        <v>6.89</v>
      </c>
      <c r="D65" s="5">
        <v>7.73</v>
      </c>
      <c r="E65" s="5">
        <v>7.49</v>
      </c>
      <c r="F65" s="5">
        <v>8.1300000000000008</v>
      </c>
      <c r="G65" s="5">
        <v>11.89</v>
      </c>
      <c r="H65" s="5">
        <v>8.48</v>
      </c>
      <c r="I65" s="5">
        <v>1.63</v>
      </c>
      <c r="J65" s="5"/>
      <c r="K65" s="3" t="s">
        <v>163</v>
      </c>
      <c r="L65" s="3" t="s">
        <v>72</v>
      </c>
      <c r="M65" s="7">
        <v>0.969064827181633</v>
      </c>
    </row>
    <row r="66" spans="1:13" x14ac:dyDescent="0.2">
      <c r="A66" s="4" t="s">
        <v>73</v>
      </c>
      <c r="B66" s="5">
        <v>4.38</v>
      </c>
      <c r="C66" s="5">
        <v>4.62</v>
      </c>
      <c r="D66" s="5">
        <v>7.33</v>
      </c>
      <c r="E66" s="5">
        <v>8.26</v>
      </c>
      <c r="F66" s="5">
        <v>7.5</v>
      </c>
      <c r="G66" s="5">
        <v>7.25</v>
      </c>
      <c r="H66" s="5">
        <v>6.56</v>
      </c>
      <c r="I66" s="5">
        <v>1.49</v>
      </c>
      <c r="J66" s="5"/>
      <c r="K66" s="3" t="s">
        <v>164</v>
      </c>
      <c r="L66" s="3" t="s">
        <v>73</v>
      </c>
      <c r="M66" s="7">
        <v>0.96530744604872998</v>
      </c>
    </row>
    <row r="67" spans="1:13" x14ac:dyDescent="0.2">
      <c r="A67" s="4" t="s">
        <v>74</v>
      </c>
      <c r="B67" s="5">
        <v>7.46</v>
      </c>
      <c r="C67" s="5">
        <v>6.86</v>
      </c>
      <c r="D67" s="5">
        <v>8.33</v>
      </c>
      <c r="E67" s="5">
        <v>7.89</v>
      </c>
      <c r="F67" s="5">
        <v>8.1</v>
      </c>
      <c r="G67" s="5">
        <v>10</v>
      </c>
      <c r="H67" s="5">
        <v>8.11</v>
      </c>
      <c r="I67" s="5">
        <v>0.97</v>
      </c>
      <c r="J67" s="5"/>
      <c r="K67" s="3" t="s">
        <v>165</v>
      </c>
      <c r="L67" s="3" t="s">
        <v>74</v>
      </c>
      <c r="M67" s="7">
        <v>0.96474030915698805</v>
      </c>
    </row>
    <row r="68" spans="1:13" x14ac:dyDescent="0.2">
      <c r="A68" s="4" t="s">
        <v>75</v>
      </c>
      <c r="B68" s="5">
        <v>8.99</v>
      </c>
      <c r="C68" s="5">
        <v>7.84</v>
      </c>
      <c r="D68" s="5">
        <v>8.6300000000000008</v>
      </c>
      <c r="E68" s="5">
        <v>10.43</v>
      </c>
      <c r="F68" s="5">
        <v>10.37</v>
      </c>
      <c r="G68" s="5">
        <v>14.22</v>
      </c>
      <c r="H68" s="5">
        <v>10.08</v>
      </c>
      <c r="I68" s="5">
        <v>2.0699999999999998</v>
      </c>
      <c r="J68" s="5"/>
      <c r="K68" s="3" t="s">
        <v>166</v>
      </c>
      <c r="L68" s="3" t="s">
        <v>75</v>
      </c>
      <c r="M68" s="7">
        <v>0.96364884796652495</v>
      </c>
    </row>
    <row r="69" spans="1:13" x14ac:dyDescent="0.2">
      <c r="A69" s="4" t="s">
        <v>76</v>
      </c>
      <c r="B69" s="5">
        <v>7.79</v>
      </c>
      <c r="C69" s="5">
        <v>5.36</v>
      </c>
      <c r="D69" s="5">
        <v>5.49</v>
      </c>
      <c r="E69" s="5">
        <v>6.32</v>
      </c>
      <c r="F69" s="5">
        <v>4.25</v>
      </c>
      <c r="G69" s="5">
        <v>7.98</v>
      </c>
      <c r="H69" s="5">
        <v>6.2</v>
      </c>
      <c r="I69" s="5">
        <v>1.34</v>
      </c>
      <c r="J69" s="5"/>
      <c r="K69" s="3" t="s">
        <v>167</v>
      </c>
      <c r="L69" s="3" t="s">
        <v>76</v>
      </c>
      <c r="M69" s="7">
        <v>0.96319563554544696</v>
      </c>
    </row>
    <row r="70" spans="1:13" x14ac:dyDescent="0.2">
      <c r="A70" s="4" t="s">
        <v>77</v>
      </c>
      <c r="B70" s="5">
        <v>6.09</v>
      </c>
      <c r="C70" s="5">
        <v>4.1500000000000004</v>
      </c>
      <c r="D70" s="5">
        <v>8.5299999999999994</v>
      </c>
      <c r="E70" s="5">
        <v>7.41</v>
      </c>
      <c r="F70" s="5">
        <v>4.78</v>
      </c>
      <c r="G70" s="5">
        <v>7.82</v>
      </c>
      <c r="H70" s="5">
        <v>6.46</v>
      </c>
      <c r="I70" s="5">
        <v>1.6</v>
      </c>
      <c r="J70" s="5"/>
      <c r="K70" s="3" t="s">
        <v>168</v>
      </c>
      <c r="L70" s="3" t="s">
        <v>77</v>
      </c>
      <c r="M70" s="7">
        <v>0.961812336582758</v>
      </c>
    </row>
    <row r="71" spans="1:13" x14ac:dyDescent="0.2">
      <c r="A71" s="4" t="s">
        <v>78</v>
      </c>
      <c r="B71" s="5">
        <v>3.85</v>
      </c>
      <c r="C71" s="5">
        <v>2.62</v>
      </c>
      <c r="D71" s="5">
        <v>6.86</v>
      </c>
      <c r="E71" s="5">
        <v>6.72</v>
      </c>
      <c r="F71" s="5">
        <v>8.18</v>
      </c>
      <c r="G71" s="5">
        <v>8.84</v>
      </c>
      <c r="H71" s="5">
        <v>6.18</v>
      </c>
      <c r="I71" s="5">
        <v>2.23</v>
      </c>
      <c r="J71" s="5"/>
      <c r="K71" s="3" t="s">
        <v>169</v>
      </c>
      <c r="L71" s="3" t="s">
        <v>78</v>
      </c>
      <c r="M71" s="7">
        <v>0.95870449242377598</v>
      </c>
    </row>
    <row r="72" spans="1:13" x14ac:dyDescent="0.2">
      <c r="A72" s="4" t="s">
        <v>79</v>
      </c>
      <c r="B72" s="5">
        <v>8.0399999999999991</v>
      </c>
      <c r="C72" s="5">
        <v>6.46</v>
      </c>
      <c r="D72" s="5">
        <v>8.5399999999999991</v>
      </c>
      <c r="E72" s="5">
        <v>10.050000000000001</v>
      </c>
      <c r="F72" s="5">
        <v>9.39</v>
      </c>
      <c r="G72" s="5">
        <v>7.72</v>
      </c>
      <c r="H72" s="5">
        <v>8.3699999999999992</v>
      </c>
      <c r="I72" s="5">
        <v>1.1599999999999999</v>
      </c>
      <c r="J72" s="5"/>
      <c r="K72" s="3" t="s">
        <v>170</v>
      </c>
      <c r="L72" s="3" t="s">
        <v>79</v>
      </c>
      <c r="M72" s="7">
        <v>0.958293585969899</v>
      </c>
    </row>
    <row r="73" spans="1:13" x14ac:dyDescent="0.2">
      <c r="A73" s="4" t="s">
        <v>80</v>
      </c>
      <c r="B73" s="5">
        <v>5.65</v>
      </c>
      <c r="C73" s="5">
        <v>4.7300000000000004</v>
      </c>
      <c r="D73" s="5">
        <v>6.42</v>
      </c>
      <c r="E73" s="5">
        <v>6.72</v>
      </c>
      <c r="F73" s="5">
        <v>5.75</v>
      </c>
      <c r="G73" s="5">
        <v>7.1</v>
      </c>
      <c r="H73" s="5">
        <v>6.06</v>
      </c>
      <c r="I73" s="5">
        <v>0.78</v>
      </c>
      <c r="J73" s="5"/>
      <c r="K73" s="3" t="s">
        <v>171</v>
      </c>
      <c r="L73" s="3" t="s">
        <v>80</v>
      </c>
      <c r="M73" s="7">
        <v>0.95734244855397999</v>
      </c>
    </row>
    <row r="74" spans="1:13" x14ac:dyDescent="0.2">
      <c r="A74" s="4" t="s">
        <v>81</v>
      </c>
      <c r="B74" s="5">
        <v>8.1999999999999993</v>
      </c>
      <c r="C74" s="5">
        <v>6.95</v>
      </c>
      <c r="D74" s="5">
        <v>10.5</v>
      </c>
      <c r="E74" s="5">
        <v>8.56</v>
      </c>
      <c r="F74" s="5">
        <v>8.68</v>
      </c>
      <c r="G74" s="5">
        <v>7.47</v>
      </c>
      <c r="H74" s="5">
        <v>8.39</v>
      </c>
      <c r="I74" s="5">
        <v>1.1200000000000001</v>
      </c>
      <c r="J74" s="5"/>
      <c r="K74" s="3" t="s">
        <v>172</v>
      </c>
      <c r="L74" s="3" t="s">
        <v>81</v>
      </c>
      <c r="M74" s="7">
        <v>0.95669796871212898</v>
      </c>
    </row>
    <row r="75" spans="1:13" x14ac:dyDescent="0.2">
      <c r="A75" s="4" t="s">
        <v>82</v>
      </c>
      <c r="B75" s="5">
        <v>5.66</v>
      </c>
      <c r="C75" s="5">
        <v>5.46</v>
      </c>
      <c r="D75" s="5">
        <v>8.17</v>
      </c>
      <c r="E75" s="5">
        <v>8.49</v>
      </c>
      <c r="F75" s="5">
        <v>7.08</v>
      </c>
      <c r="G75" s="5">
        <v>7.62</v>
      </c>
      <c r="H75" s="5">
        <v>7.08</v>
      </c>
      <c r="I75" s="5">
        <v>1.1599999999999999</v>
      </c>
      <c r="J75" s="5"/>
      <c r="K75" s="3" t="s">
        <v>173</v>
      </c>
      <c r="L75" s="3" t="s">
        <v>82</v>
      </c>
      <c r="M75" s="7">
        <v>0.95577827997857501</v>
      </c>
    </row>
    <row r="76" spans="1:13" x14ac:dyDescent="0.2">
      <c r="A76" s="4" t="s">
        <v>83</v>
      </c>
      <c r="B76" s="5">
        <v>4.2699999999999996</v>
      </c>
      <c r="C76" s="5">
        <v>6.47</v>
      </c>
      <c r="D76" s="5">
        <v>7.95</v>
      </c>
      <c r="E76" s="5">
        <v>7.66</v>
      </c>
      <c r="F76" s="5">
        <v>7.5</v>
      </c>
      <c r="G76" s="5">
        <v>12.06</v>
      </c>
      <c r="H76" s="5">
        <v>7.65</v>
      </c>
      <c r="I76" s="5">
        <v>2.3199999999999998</v>
      </c>
      <c r="J76" s="5"/>
      <c r="K76" s="3" t="s">
        <v>174</v>
      </c>
      <c r="L76" s="3" t="s">
        <v>83</v>
      </c>
      <c r="M76" s="7">
        <v>0.95420970539809502</v>
      </c>
    </row>
    <row r="77" spans="1:13" x14ac:dyDescent="0.2">
      <c r="A77" s="4" t="s">
        <v>84</v>
      </c>
      <c r="B77" s="5">
        <v>8.0500000000000007</v>
      </c>
      <c r="C77" s="5">
        <v>7.2</v>
      </c>
      <c r="D77" s="5">
        <v>8.17</v>
      </c>
      <c r="E77" s="5">
        <v>6.13</v>
      </c>
      <c r="F77" s="5">
        <v>8.26</v>
      </c>
      <c r="G77" s="5">
        <v>11.61</v>
      </c>
      <c r="H77" s="5">
        <v>8.24</v>
      </c>
      <c r="I77" s="5">
        <v>1.68</v>
      </c>
      <c r="J77" s="5"/>
      <c r="K77" s="3" t="s">
        <v>175</v>
      </c>
      <c r="L77" s="3" t="s">
        <v>84</v>
      </c>
      <c r="M77" s="7">
        <v>0.953815139194921</v>
      </c>
    </row>
    <row r="78" spans="1:13" x14ac:dyDescent="0.2">
      <c r="A78" s="4" t="s">
        <v>85</v>
      </c>
      <c r="B78" s="5">
        <v>7.36</v>
      </c>
      <c r="C78" s="5">
        <v>7.01</v>
      </c>
      <c r="D78" s="5">
        <v>7.93</v>
      </c>
      <c r="E78" s="5">
        <v>4.95</v>
      </c>
      <c r="F78" s="5">
        <v>6.8</v>
      </c>
      <c r="G78" s="5">
        <v>7.82</v>
      </c>
      <c r="H78" s="5">
        <v>6.98</v>
      </c>
      <c r="I78" s="5">
        <v>0.99</v>
      </c>
      <c r="J78" s="5"/>
      <c r="K78" s="3" t="s">
        <v>176</v>
      </c>
      <c r="L78" s="3" t="s">
        <v>85</v>
      </c>
      <c r="M78" s="7">
        <v>0.95273406255428605</v>
      </c>
    </row>
    <row r="79" spans="1:13" x14ac:dyDescent="0.2">
      <c r="A79" s="4" t="s">
        <v>86</v>
      </c>
      <c r="B79" s="5">
        <v>7.16</v>
      </c>
      <c r="C79" s="5">
        <v>6.4</v>
      </c>
      <c r="D79" s="5">
        <v>4.72</v>
      </c>
      <c r="E79" s="5">
        <v>7.14</v>
      </c>
      <c r="F79" s="5">
        <v>7.48</v>
      </c>
      <c r="G79" s="5">
        <v>7.04</v>
      </c>
      <c r="H79" s="5">
        <v>6.66</v>
      </c>
      <c r="I79" s="5">
        <v>0.92</v>
      </c>
      <c r="J79" s="5"/>
      <c r="K79" s="3" t="s">
        <v>177</v>
      </c>
      <c r="L79" s="3" t="s">
        <v>86</v>
      </c>
      <c r="M79" s="7">
        <v>0.95269672643884495</v>
      </c>
    </row>
    <row r="80" spans="1:13" x14ac:dyDescent="0.2">
      <c r="A80" s="4" t="s">
        <v>87</v>
      </c>
      <c r="B80" s="5">
        <v>5.48</v>
      </c>
      <c r="C80" s="5">
        <v>6.04</v>
      </c>
      <c r="D80" s="5">
        <v>10.01</v>
      </c>
      <c r="E80" s="5">
        <v>10.54</v>
      </c>
      <c r="F80" s="5">
        <v>10.89</v>
      </c>
      <c r="G80" s="5">
        <v>7.5</v>
      </c>
      <c r="H80" s="5">
        <v>8.41</v>
      </c>
      <c r="I80" s="5">
        <v>2.17</v>
      </c>
      <c r="J80" s="5"/>
      <c r="K80" s="3" t="s">
        <v>178</v>
      </c>
      <c r="L80" s="3" t="s">
        <v>87</v>
      </c>
      <c r="M80" s="7">
        <v>0.95222808068335096</v>
      </c>
    </row>
    <row r="81" spans="1:13" x14ac:dyDescent="0.2">
      <c r="A81" s="4" t="s">
        <v>88</v>
      </c>
      <c r="B81" s="5">
        <v>4.6900000000000004</v>
      </c>
      <c r="C81" s="5">
        <v>3.71</v>
      </c>
      <c r="D81" s="5">
        <v>7.43</v>
      </c>
      <c r="E81" s="5">
        <v>5.39</v>
      </c>
      <c r="F81" s="5">
        <v>6.57</v>
      </c>
      <c r="G81" s="5">
        <v>8.43</v>
      </c>
      <c r="H81" s="5">
        <v>6.04</v>
      </c>
      <c r="I81" s="5">
        <v>1.61</v>
      </c>
      <c r="J81" s="5"/>
      <c r="K81" s="3" t="s">
        <v>179</v>
      </c>
      <c r="L81" s="3" t="s">
        <v>88</v>
      </c>
      <c r="M81" s="7">
        <v>0.95130839194979699</v>
      </c>
    </row>
    <row r="82" spans="1:13" x14ac:dyDescent="0.2">
      <c r="A82" s="4" t="s">
        <v>89</v>
      </c>
      <c r="B82" s="5">
        <v>8.1999999999999993</v>
      </c>
      <c r="C82" s="5">
        <v>7.55</v>
      </c>
      <c r="D82" s="5">
        <v>8.36</v>
      </c>
      <c r="E82" s="5">
        <v>8.16</v>
      </c>
      <c r="F82" s="5">
        <v>6.44</v>
      </c>
      <c r="G82" s="5">
        <v>10.18</v>
      </c>
      <c r="H82" s="5">
        <v>8.15</v>
      </c>
      <c r="I82" s="5">
        <v>1.1100000000000001</v>
      </c>
      <c r="J82" s="5"/>
      <c r="K82" s="3" t="s">
        <v>180</v>
      </c>
      <c r="L82" s="3" t="s">
        <v>89</v>
      </c>
      <c r="M82" s="7">
        <v>0.951222825244595</v>
      </c>
    </row>
    <row r="83" spans="1:13" x14ac:dyDescent="0.2">
      <c r="A83" s="4" t="s">
        <v>90</v>
      </c>
      <c r="B83" s="5">
        <v>8.08</v>
      </c>
      <c r="C83" s="5">
        <v>7.44</v>
      </c>
      <c r="D83" s="5">
        <v>10.029999999999999</v>
      </c>
      <c r="E83" s="5">
        <v>11.53</v>
      </c>
      <c r="F83" s="5">
        <v>7.66</v>
      </c>
      <c r="G83" s="5">
        <v>9.26</v>
      </c>
      <c r="H83" s="5">
        <v>9</v>
      </c>
      <c r="I83" s="5">
        <v>1.45</v>
      </c>
      <c r="J83" s="5"/>
      <c r="K83" s="3" t="s">
        <v>181</v>
      </c>
      <c r="L83" s="3" t="s">
        <v>90</v>
      </c>
      <c r="M83" s="7">
        <v>0.95093530860443998</v>
      </c>
    </row>
    <row r="84" spans="1:13" x14ac:dyDescent="0.2">
      <c r="A84" s="4" t="s">
        <v>91</v>
      </c>
      <c r="B84" s="5">
        <v>7.29</v>
      </c>
      <c r="C84" s="5">
        <v>6.22</v>
      </c>
      <c r="D84" s="5">
        <v>10.58</v>
      </c>
      <c r="E84" s="5">
        <v>10.34</v>
      </c>
      <c r="F84" s="5">
        <v>11.96</v>
      </c>
      <c r="G84" s="5">
        <v>10.01</v>
      </c>
      <c r="H84" s="5">
        <v>9.4</v>
      </c>
      <c r="I84" s="5">
        <v>1.99</v>
      </c>
      <c r="J84" s="5"/>
      <c r="K84" s="3" t="s">
        <v>182</v>
      </c>
      <c r="L84" s="3" t="s">
        <v>91</v>
      </c>
      <c r="M84" s="7">
        <v>0.95066391210794698</v>
      </c>
    </row>
    <row r="85" spans="1:13" x14ac:dyDescent="0.2">
      <c r="A85" s="4" t="s">
        <v>92</v>
      </c>
      <c r="B85" s="5">
        <v>7.28</v>
      </c>
      <c r="C85" s="5">
        <v>5.97</v>
      </c>
      <c r="D85" s="5">
        <v>7.02</v>
      </c>
      <c r="E85" s="5">
        <v>9.36</v>
      </c>
      <c r="F85" s="5">
        <v>5.13</v>
      </c>
      <c r="G85" s="5">
        <v>6.14</v>
      </c>
      <c r="H85" s="5">
        <v>6.82</v>
      </c>
      <c r="I85" s="5">
        <v>1.34</v>
      </c>
      <c r="J85" s="5"/>
      <c r="K85" s="3" t="s">
        <v>183</v>
      </c>
      <c r="L85" s="3" t="s">
        <v>92</v>
      </c>
      <c r="M85" s="7">
        <v>0.94826417452550704</v>
      </c>
    </row>
    <row r="86" spans="1:13" x14ac:dyDescent="0.2">
      <c r="A86" s="4" t="s">
        <v>93</v>
      </c>
      <c r="B86" s="5">
        <v>5.12</v>
      </c>
      <c r="C86" s="5">
        <v>4.08</v>
      </c>
      <c r="D86" s="5">
        <v>6.27</v>
      </c>
      <c r="E86" s="5">
        <v>6.29</v>
      </c>
      <c r="F86" s="5">
        <v>4.9800000000000004</v>
      </c>
      <c r="G86" s="5">
        <v>5.85</v>
      </c>
      <c r="H86" s="5">
        <v>5.43</v>
      </c>
      <c r="I86" s="5">
        <v>0.79</v>
      </c>
      <c r="J86" s="5"/>
      <c r="K86" s="3" t="s">
        <v>184</v>
      </c>
      <c r="L86" s="3" t="s">
        <v>93</v>
      </c>
      <c r="M86" s="7">
        <v>0.94774702198558403</v>
      </c>
    </row>
    <row r="87" spans="1:13" x14ac:dyDescent="0.2">
      <c r="A87" s="4" t="s">
        <v>94</v>
      </c>
      <c r="B87" s="5">
        <v>0.24</v>
      </c>
      <c r="C87" s="5">
        <v>0.21</v>
      </c>
      <c r="D87" s="5">
        <v>0.42</v>
      </c>
      <c r="E87" s="5">
        <v>0.28000000000000003</v>
      </c>
      <c r="F87" s="5">
        <v>1.1499999999999999</v>
      </c>
      <c r="G87" s="5">
        <v>0.93</v>
      </c>
      <c r="H87" s="5">
        <v>0</v>
      </c>
      <c r="I87" s="5">
        <v>0</v>
      </c>
      <c r="J87" s="5"/>
      <c r="K87" s="3" t="s">
        <v>185</v>
      </c>
      <c r="L87" s="3" t="s">
        <v>94</v>
      </c>
      <c r="M87" s="7">
        <v>0.94670000595010395</v>
      </c>
    </row>
    <row r="88" spans="1:13" x14ac:dyDescent="0.2">
      <c r="A88" s="4" t="s">
        <v>95</v>
      </c>
      <c r="B88" s="5">
        <v>2.92</v>
      </c>
      <c r="C88" s="5">
        <v>6.4</v>
      </c>
      <c r="D88" s="5">
        <v>8.42</v>
      </c>
      <c r="E88" s="5">
        <v>6.63</v>
      </c>
      <c r="F88" s="5">
        <v>8.49</v>
      </c>
      <c r="G88" s="5">
        <v>11.12</v>
      </c>
      <c r="H88" s="5">
        <v>7.33</v>
      </c>
      <c r="I88" s="5">
        <v>2.5099999999999998</v>
      </c>
      <c r="J88" s="5"/>
      <c r="K88" s="3" t="s">
        <v>186</v>
      </c>
      <c r="L88" s="3" t="s">
        <v>95</v>
      </c>
      <c r="M88" s="7">
        <v>0.94619402407916797</v>
      </c>
    </row>
    <row r="89" spans="1:13" x14ac:dyDescent="0.2">
      <c r="A89" s="4" t="s">
        <v>96</v>
      </c>
      <c r="B89" s="5">
        <v>6.21</v>
      </c>
      <c r="C89" s="5">
        <v>6.83</v>
      </c>
      <c r="D89" s="5">
        <v>6.22</v>
      </c>
      <c r="E89" s="5">
        <v>8.16</v>
      </c>
      <c r="F89" s="5">
        <v>7.33</v>
      </c>
      <c r="G89" s="5">
        <v>9.15</v>
      </c>
      <c r="H89" s="5">
        <v>7.32</v>
      </c>
      <c r="I89" s="5">
        <v>1.06</v>
      </c>
      <c r="J89" s="5"/>
      <c r="K89" s="3" t="s">
        <v>187</v>
      </c>
      <c r="L89" s="3" t="s">
        <v>96</v>
      </c>
      <c r="M89" s="7">
        <v>0.94304227717393996</v>
      </c>
    </row>
    <row r="90" spans="1:13" x14ac:dyDescent="0.2">
      <c r="A90" s="4" t="s">
        <v>97</v>
      </c>
      <c r="B90" s="5">
        <v>3.15</v>
      </c>
      <c r="C90" s="5">
        <v>5.83</v>
      </c>
      <c r="D90" s="5">
        <v>9.36</v>
      </c>
      <c r="E90" s="5">
        <v>7.19</v>
      </c>
      <c r="F90" s="5">
        <v>9.6300000000000008</v>
      </c>
      <c r="G90" s="5">
        <v>13.37</v>
      </c>
      <c r="H90" s="5">
        <v>8.09</v>
      </c>
      <c r="I90" s="5">
        <v>3.22</v>
      </c>
      <c r="J90" s="5"/>
      <c r="K90" s="3" t="s">
        <v>188</v>
      </c>
      <c r="L90" s="3" t="s">
        <v>97</v>
      </c>
      <c r="M90" s="7">
        <v>0.942632654114955</v>
      </c>
    </row>
    <row r="91" spans="1:13" x14ac:dyDescent="0.2">
      <c r="A91" s="4" t="s">
        <v>98</v>
      </c>
      <c r="B91" s="5">
        <v>5.76</v>
      </c>
      <c r="C91" s="5">
        <v>6.01</v>
      </c>
      <c r="D91" s="5">
        <v>5.84</v>
      </c>
      <c r="E91" s="5">
        <v>5.33</v>
      </c>
      <c r="F91" s="5">
        <v>7.06</v>
      </c>
      <c r="G91" s="5">
        <v>8.64</v>
      </c>
      <c r="H91" s="5">
        <v>6.44</v>
      </c>
      <c r="I91" s="5">
        <v>1.1200000000000001</v>
      </c>
      <c r="J91" s="5"/>
      <c r="K91" s="3" t="s">
        <v>189</v>
      </c>
      <c r="L91" s="3" t="s">
        <v>98</v>
      </c>
      <c r="M91" s="7">
        <v>0.94259139611143095</v>
      </c>
    </row>
    <row r="92" spans="1:13" x14ac:dyDescent="0.2">
      <c r="A92" s="4" t="s">
        <v>99</v>
      </c>
      <c r="B92" s="5">
        <v>3.01</v>
      </c>
      <c r="C92" s="5">
        <v>3.1</v>
      </c>
      <c r="D92" s="5">
        <v>3.03</v>
      </c>
      <c r="E92" s="5">
        <v>3.02</v>
      </c>
      <c r="F92" s="5">
        <v>2.98</v>
      </c>
      <c r="G92" s="5">
        <v>3.99</v>
      </c>
      <c r="H92" s="5">
        <v>3.19</v>
      </c>
      <c r="I92" s="5">
        <v>0.36</v>
      </c>
      <c r="J92" s="5"/>
      <c r="K92" s="3" t="s">
        <v>190</v>
      </c>
      <c r="L92" s="3" t="s">
        <v>99</v>
      </c>
      <c r="M92" s="7">
        <v>0.94236704547178596</v>
      </c>
    </row>
    <row r="93" spans="1:13" x14ac:dyDescent="0.2">
      <c r="A93" s="4" t="s">
        <v>100</v>
      </c>
      <c r="B93" s="5">
        <v>4.21</v>
      </c>
      <c r="C93" s="5">
        <v>5.22</v>
      </c>
      <c r="D93" s="5">
        <v>6.72</v>
      </c>
      <c r="E93" s="5">
        <v>6.58</v>
      </c>
      <c r="F93" s="5">
        <v>8.23</v>
      </c>
      <c r="G93" s="5">
        <v>4.51</v>
      </c>
      <c r="H93" s="5">
        <v>5.91</v>
      </c>
      <c r="I93" s="5">
        <v>1.4</v>
      </c>
      <c r="J93" s="5"/>
      <c r="K93" s="3" t="s">
        <v>191</v>
      </c>
      <c r="L93" s="3" t="s">
        <v>100</v>
      </c>
      <c r="M93" s="7">
        <v>0.94171296538140103</v>
      </c>
    </row>
    <row r="94" spans="1:13" x14ac:dyDescent="0.2">
      <c r="A94" s="4" t="s">
        <v>101</v>
      </c>
      <c r="B94" s="5">
        <v>7.89</v>
      </c>
      <c r="C94" s="5">
        <v>7.3</v>
      </c>
      <c r="D94" s="5">
        <v>7.74</v>
      </c>
      <c r="E94" s="5">
        <v>10.28</v>
      </c>
      <c r="F94" s="5">
        <v>9.3000000000000007</v>
      </c>
      <c r="G94" s="5">
        <v>10.17</v>
      </c>
      <c r="H94" s="5">
        <v>8.7799999999999994</v>
      </c>
      <c r="I94" s="5">
        <v>1.19</v>
      </c>
      <c r="J94" s="5"/>
      <c r="K94" s="3" t="s">
        <v>9</v>
      </c>
      <c r="L94" s="3" t="s">
        <v>192</v>
      </c>
    </row>
    <row r="95" spans="1:13" x14ac:dyDescent="0.2">
      <c r="K95" s="3" t="s">
        <v>9</v>
      </c>
      <c r="L95" s="3" t="s">
        <v>193</v>
      </c>
    </row>
    <row r="96" spans="1:13" x14ac:dyDescent="0.2">
      <c r="K96" s="3" t="s">
        <v>10</v>
      </c>
      <c r="L96" s="3" t="s">
        <v>194</v>
      </c>
    </row>
    <row r="97" spans="8:12" x14ac:dyDescent="0.2">
      <c r="K97" s="3" t="s">
        <v>195</v>
      </c>
      <c r="L97" s="3" t="s">
        <v>101</v>
      </c>
    </row>
    <row r="98" spans="8:12" x14ac:dyDescent="0.2">
      <c r="K98" s="3" t="s">
        <v>196</v>
      </c>
      <c r="L98" s="3" t="s">
        <v>197</v>
      </c>
    </row>
    <row r="99" spans="8:12" x14ac:dyDescent="0.2">
      <c r="K99" s="3" t="s">
        <v>196</v>
      </c>
      <c r="L99" s="3" t="s">
        <v>198</v>
      </c>
    </row>
    <row r="107" spans="8:12" x14ac:dyDescent="0.2">
      <c r="H107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81D6-B6E4-1745-B5C2-6634EDA8CE99}">
  <dimension ref="A1:D13"/>
  <sheetViews>
    <sheetView tabSelected="1" workbookViewId="0">
      <selection activeCell="C18" sqref="C18"/>
    </sheetView>
  </sheetViews>
  <sheetFormatPr baseColWidth="10" defaultRowHeight="16" x14ac:dyDescent="0.2"/>
  <cols>
    <col min="2" max="2" width="28" customWidth="1"/>
    <col min="3" max="3" width="29.5" customWidth="1"/>
    <col min="4" max="4" width="44.33203125" customWidth="1"/>
  </cols>
  <sheetData>
    <row r="1" spans="1:4" ht="25" customHeight="1" x14ac:dyDescent="0.2">
      <c r="A1" s="17" t="s">
        <v>605</v>
      </c>
      <c r="B1" s="17"/>
      <c r="C1" s="17"/>
      <c r="D1" s="17"/>
    </row>
    <row r="2" spans="1:4" ht="25" customHeight="1" x14ac:dyDescent="0.2">
      <c r="A2" s="17" t="s">
        <v>606</v>
      </c>
      <c r="B2" s="17"/>
      <c r="C2" s="17"/>
      <c r="D2" s="17"/>
    </row>
    <row r="3" spans="1:4" ht="25" customHeight="1" x14ac:dyDescent="0.2">
      <c r="A3" s="15" t="s">
        <v>579</v>
      </c>
      <c r="B3" s="15" t="s">
        <v>580</v>
      </c>
      <c r="C3" s="15" t="s">
        <v>581</v>
      </c>
      <c r="D3" s="15" t="s">
        <v>582</v>
      </c>
    </row>
    <row r="4" spans="1:4" ht="25" customHeight="1" x14ac:dyDescent="0.2">
      <c r="A4" s="12" t="s">
        <v>583</v>
      </c>
      <c r="B4" s="13" t="s">
        <v>584</v>
      </c>
      <c r="C4" s="13" t="s">
        <v>585</v>
      </c>
      <c r="D4" s="14" t="s">
        <v>586</v>
      </c>
    </row>
    <row r="5" spans="1:4" ht="25" customHeight="1" x14ac:dyDescent="0.2">
      <c r="A5" s="12"/>
      <c r="B5" s="13" t="s">
        <v>587</v>
      </c>
      <c r="C5" s="13" t="s">
        <v>588</v>
      </c>
      <c r="D5" s="14" t="s">
        <v>589</v>
      </c>
    </row>
    <row r="6" spans="1:4" ht="25" customHeight="1" x14ac:dyDescent="0.2">
      <c r="A6" s="12"/>
      <c r="B6" s="12"/>
      <c r="C6" s="13" t="s">
        <v>590</v>
      </c>
      <c r="D6" s="14" t="s">
        <v>591</v>
      </c>
    </row>
    <row r="7" spans="1:4" ht="25" customHeight="1" x14ac:dyDescent="0.2">
      <c r="A7" s="12"/>
      <c r="B7" s="12"/>
      <c r="C7" s="13" t="s">
        <v>592</v>
      </c>
      <c r="D7" s="14" t="s">
        <v>593</v>
      </c>
    </row>
    <row r="8" spans="1:4" ht="25" customHeight="1" x14ac:dyDescent="0.2">
      <c r="A8" s="12"/>
      <c r="B8" s="12"/>
      <c r="C8" s="13" t="s">
        <v>594</v>
      </c>
      <c r="D8" s="14" t="s">
        <v>595</v>
      </c>
    </row>
    <row r="9" spans="1:4" ht="25" customHeight="1" x14ac:dyDescent="0.2">
      <c r="A9" s="12"/>
      <c r="B9" s="12"/>
      <c r="C9" s="13" t="s">
        <v>596</v>
      </c>
      <c r="D9" s="14" t="s">
        <v>597</v>
      </c>
    </row>
    <row r="10" spans="1:4" ht="25" customHeight="1" x14ac:dyDescent="0.2">
      <c r="A10" s="12"/>
      <c r="B10" s="12"/>
      <c r="C10" s="13" t="s">
        <v>598</v>
      </c>
      <c r="D10" s="14" t="s">
        <v>599</v>
      </c>
    </row>
    <row r="11" spans="1:4" ht="25" customHeight="1" x14ac:dyDescent="0.2">
      <c r="A11" s="12"/>
      <c r="B11" s="12"/>
      <c r="C11" s="13" t="s">
        <v>600</v>
      </c>
      <c r="D11" s="14" t="s">
        <v>601</v>
      </c>
    </row>
    <row r="12" spans="1:4" ht="25" customHeight="1" x14ac:dyDescent="0.2">
      <c r="A12" s="12"/>
      <c r="B12" s="12"/>
      <c r="C12" s="13" t="s">
        <v>602</v>
      </c>
      <c r="D12" s="14" t="s">
        <v>603</v>
      </c>
    </row>
    <row r="13" spans="1:4" ht="25" customHeight="1" x14ac:dyDescent="0.2">
      <c r="A13" s="12"/>
      <c r="B13" s="12"/>
      <c r="C13" s="13" t="s">
        <v>604</v>
      </c>
      <c r="D13" s="12"/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27CF-4B77-CB40-8799-4E2ECB961B07}">
  <dimension ref="A1:B7"/>
  <sheetViews>
    <sheetView workbookViewId="0">
      <selection activeCell="B7" sqref="B7"/>
    </sheetView>
  </sheetViews>
  <sheetFormatPr baseColWidth="10" defaultColWidth="11" defaultRowHeight="16" x14ac:dyDescent="0.2"/>
  <cols>
    <col min="3" max="3" width="17.6640625" customWidth="1"/>
  </cols>
  <sheetData>
    <row r="1" spans="1:2" x14ac:dyDescent="0.2">
      <c r="A1" s="8"/>
      <c r="B1" s="8" t="s">
        <v>569</v>
      </c>
    </row>
    <row r="2" spans="1:2" x14ac:dyDescent="0.2">
      <c r="A2" s="8" t="s">
        <v>564</v>
      </c>
      <c r="B2" s="8">
        <v>90</v>
      </c>
    </row>
    <row r="3" spans="1:2" x14ac:dyDescent="0.2">
      <c r="A3" s="8" t="s">
        <v>565</v>
      </c>
      <c r="B3" s="8">
        <v>90</v>
      </c>
    </row>
    <row r="4" spans="1:2" x14ac:dyDescent="0.2">
      <c r="A4" s="8" t="s">
        <v>566</v>
      </c>
      <c r="B4" s="8">
        <v>90</v>
      </c>
    </row>
    <row r="5" spans="1:2" x14ac:dyDescent="0.2">
      <c r="A5" s="8" t="s">
        <v>567</v>
      </c>
      <c r="B5" s="8">
        <v>88</v>
      </c>
    </row>
    <row r="6" spans="1:2" x14ac:dyDescent="0.2">
      <c r="A6" s="8" t="s">
        <v>568</v>
      </c>
      <c r="B6" s="8">
        <v>90</v>
      </c>
    </row>
    <row r="7" spans="1:2" x14ac:dyDescent="0.2">
      <c r="A7" s="8"/>
      <c r="B7" s="9">
        <f>SUM(B2:B6)</f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Round1_Plate1</vt:lpstr>
      <vt:lpstr>Round1_Plate2</vt:lpstr>
      <vt:lpstr>Round2</vt:lpstr>
      <vt:lpstr>Round3</vt:lpstr>
      <vt:lpstr>Round4</vt:lpstr>
      <vt:lpstr>SDMTemplates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Nilmani</dc:creator>
  <cp:lastModifiedBy>Singh, Nilmani</cp:lastModifiedBy>
  <dcterms:created xsi:type="dcterms:W3CDTF">2024-08-19T18:09:02Z</dcterms:created>
  <dcterms:modified xsi:type="dcterms:W3CDTF">2024-10-21T22:44:24Z</dcterms:modified>
</cp:coreProperties>
</file>