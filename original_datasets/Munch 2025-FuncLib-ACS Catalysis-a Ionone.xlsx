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8_{BAAC312C-9091-41A5-BF30-70AA2F8F4284}" xr6:coauthVersionLast="47" xr6:coauthVersionMax="47" xr10:uidLastSave="{00000000-0000-0000-0000-000000000000}"/>
  <bookViews>
    <workbookView xWindow="-120" yWindow="-120" windowWidth="38640" windowHeight="21240" xr2:uid="{39B55183-4D91-4AD8-AB24-E994D46C8455}"/>
  </bookViews>
  <sheets>
    <sheet name="All variants" sheetId="1" r:id="rId1"/>
    <sheet name="Best vari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E61" i="1"/>
  <c r="D61" i="1"/>
  <c r="C61" i="1"/>
  <c r="E60" i="1"/>
  <c r="D60" i="1"/>
  <c r="C60" i="1"/>
  <c r="B61" i="1"/>
  <c r="I61" i="1" s="1"/>
  <c r="N61" i="1" s="1"/>
  <c r="B60" i="1"/>
  <c r="H60" i="1"/>
  <c r="H57" i="1"/>
  <c r="J59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8" i="1"/>
  <c r="I58" i="1"/>
  <c r="J58" i="1"/>
  <c r="H59" i="1"/>
  <c r="I59" i="1"/>
  <c r="I60" i="1"/>
  <c r="N60" i="1" s="1"/>
  <c r="J60" i="1"/>
  <c r="H61" i="1"/>
  <c r="M61" i="1" s="1"/>
  <c r="J61" i="1"/>
  <c r="H4" i="1"/>
  <c r="M4" i="1" s="1"/>
  <c r="J4" i="1"/>
  <c r="M57" i="1" l="1"/>
  <c r="O4" i="1"/>
  <c r="N4" i="1"/>
  <c r="Q4" i="1" s="1"/>
  <c r="R4" i="1" s="1"/>
  <c r="M59" i="1"/>
  <c r="O58" i="1"/>
  <c r="M58" i="1"/>
  <c r="O56" i="1"/>
  <c r="M56" i="1"/>
  <c r="O55" i="1"/>
  <c r="M55" i="1"/>
  <c r="O54" i="1"/>
  <c r="M54" i="1"/>
  <c r="O53" i="1"/>
  <c r="O59" i="1"/>
  <c r="O61" i="1"/>
  <c r="Q61" i="1" s="1"/>
  <c r="O60" i="1"/>
  <c r="M60" i="1"/>
  <c r="Q60" i="1" s="1"/>
  <c r="N59" i="1"/>
  <c r="N58" i="1"/>
  <c r="N56" i="1"/>
  <c r="N55" i="1"/>
  <c r="N54" i="1"/>
  <c r="N53" i="1"/>
  <c r="N52" i="1"/>
  <c r="M53" i="1"/>
  <c r="O52" i="1"/>
  <c r="M52" i="1"/>
  <c r="Q52" i="1" s="1"/>
  <c r="O51" i="1"/>
  <c r="M51" i="1"/>
  <c r="O50" i="1"/>
  <c r="M50" i="1"/>
  <c r="O49" i="1"/>
  <c r="M49" i="1"/>
  <c r="O48" i="1"/>
  <c r="M48" i="1"/>
  <c r="O47" i="1"/>
  <c r="M47" i="1"/>
  <c r="O46" i="1"/>
  <c r="M46" i="1"/>
  <c r="O45" i="1"/>
  <c r="M45" i="1"/>
  <c r="O44" i="1"/>
  <c r="M44" i="1"/>
  <c r="O43" i="1"/>
  <c r="M43" i="1"/>
  <c r="O42" i="1"/>
  <c r="M42" i="1"/>
  <c r="O41" i="1"/>
  <c r="M41" i="1"/>
  <c r="O40" i="1"/>
  <c r="M40" i="1"/>
  <c r="O39" i="1"/>
  <c r="M39" i="1"/>
  <c r="O38" i="1"/>
  <c r="M38" i="1"/>
  <c r="O37" i="1"/>
  <c r="M37" i="1"/>
  <c r="O36" i="1"/>
  <c r="M36" i="1"/>
  <c r="O35" i="1"/>
  <c r="M35" i="1"/>
  <c r="O34" i="1"/>
  <c r="M34" i="1"/>
  <c r="O33" i="1"/>
  <c r="M33" i="1"/>
  <c r="O32" i="1"/>
  <c r="M32" i="1"/>
  <c r="O31" i="1"/>
  <c r="M31" i="1"/>
  <c r="O30" i="1"/>
  <c r="M30" i="1"/>
  <c r="O29" i="1"/>
  <c r="M29" i="1"/>
  <c r="O28" i="1"/>
  <c r="M28" i="1"/>
  <c r="O27" i="1"/>
  <c r="M27" i="1"/>
  <c r="O26" i="1"/>
  <c r="M26" i="1"/>
  <c r="O25" i="1"/>
  <c r="M25" i="1"/>
  <c r="O24" i="1"/>
  <c r="M24" i="1"/>
  <c r="O23" i="1"/>
  <c r="M23" i="1"/>
  <c r="O22" i="1"/>
  <c r="M22" i="1"/>
  <c r="O21" i="1"/>
  <c r="M21" i="1"/>
  <c r="O20" i="1"/>
  <c r="M20" i="1"/>
  <c r="O19" i="1"/>
  <c r="M19" i="1"/>
  <c r="O18" i="1"/>
  <c r="M18" i="1"/>
  <c r="O17" i="1"/>
  <c r="M17" i="1"/>
  <c r="O16" i="1"/>
  <c r="M16" i="1"/>
  <c r="O15" i="1"/>
  <c r="M15" i="1"/>
  <c r="O14" i="1"/>
  <c r="M14" i="1"/>
  <c r="O13" i="1"/>
  <c r="M13" i="1"/>
  <c r="O12" i="1"/>
  <c r="M12" i="1"/>
  <c r="O11" i="1"/>
  <c r="M11" i="1"/>
  <c r="N51" i="1"/>
  <c r="Q51" i="1"/>
  <c r="N50" i="1"/>
  <c r="N49" i="1"/>
  <c r="Q49" i="1" s="1"/>
  <c r="N48" i="1"/>
  <c r="Q48" i="1"/>
  <c r="N47" i="1"/>
  <c r="N46" i="1"/>
  <c r="Q46" i="1" s="1"/>
  <c r="N45" i="1"/>
  <c r="N44" i="1"/>
  <c r="Q44" i="1" s="1"/>
  <c r="N43" i="1"/>
  <c r="N42" i="1"/>
  <c r="Q42" i="1" s="1"/>
  <c r="N41" i="1"/>
  <c r="N40" i="1"/>
  <c r="N39" i="1"/>
  <c r="N38" i="1"/>
  <c r="N37" i="1"/>
  <c r="N36" i="1"/>
  <c r="N35" i="1"/>
  <c r="N34" i="1"/>
  <c r="N33" i="1"/>
  <c r="N32" i="1"/>
  <c r="N31" i="1"/>
  <c r="Q31" i="1" s="1"/>
  <c r="N30" i="1"/>
  <c r="N29" i="1"/>
  <c r="N28" i="1"/>
  <c r="N27" i="1"/>
  <c r="N26" i="1"/>
  <c r="Q26" i="1" s="1"/>
  <c r="N25" i="1"/>
  <c r="N24" i="1"/>
  <c r="Q24" i="1" s="1"/>
  <c r="N23" i="1"/>
  <c r="N22" i="1"/>
  <c r="Q22" i="1" s="1"/>
  <c r="N21" i="1"/>
  <c r="N20" i="1"/>
  <c r="N19" i="1"/>
  <c r="N18" i="1"/>
  <c r="O10" i="1"/>
  <c r="M10" i="1"/>
  <c r="O9" i="1"/>
  <c r="M9" i="1"/>
  <c r="O8" i="1"/>
  <c r="M8" i="1"/>
  <c r="O7" i="1"/>
  <c r="M7" i="1"/>
  <c r="O6" i="1"/>
  <c r="M6" i="1"/>
  <c r="O5" i="1"/>
  <c r="M5" i="1"/>
  <c r="N17" i="1"/>
  <c r="N16" i="1"/>
  <c r="Q16" i="1" s="1"/>
  <c r="N15" i="1"/>
  <c r="N14" i="1"/>
  <c r="Q14" i="1" s="1"/>
  <c r="N13" i="1"/>
  <c r="Q13" i="1"/>
  <c r="N12" i="1"/>
  <c r="Q12" i="1"/>
  <c r="N11" i="1"/>
  <c r="Q11" i="1"/>
  <c r="N10" i="1"/>
  <c r="N9" i="1"/>
  <c r="N8" i="1"/>
  <c r="N7" i="1"/>
  <c r="N6" i="1"/>
  <c r="N5" i="1"/>
  <c r="R60" i="1"/>
  <c r="Q59" i="1"/>
  <c r="Q58" i="1"/>
  <c r="R58" i="1" s="1"/>
  <c r="Q56" i="1"/>
  <c r="Q54" i="1"/>
  <c r="Q53" i="1"/>
  <c r="Q33" i="1"/>
  <c r="R14" i="1" l="1"/>
  <c r="Q29" i="1"/>
  <c r="Q18" i="1"/>
  <c r="Q36" i="1"/>
  <c r="Q15" i="1"/>
  <c r="R15" i="1" s="1"/>
  <c r="Q17" i="1"/>
  <c r="Q23" i="1"/>
  <c r="R23" i="1" s="1"/>
  <c r="Q25" i="1"/>
  <c r="Q27" i="1"/>
  <c r="Q32" i="1"/>
  <c r="R32" i="1" s="1"/>
  <c r="Q43" i="1"/>
  <c r="R43" i="1" s="1"/>
  <c r="Q45" i="1"/>
  <c r="R45" i="1" s="1"/>
  <c r="Q5" i="1"/>
  <c r="R5" i="1" s="1"/>
  <c r="Q6" i="1"/>
  <c r="R6" i="1" s="1"/>
  <c r="Q7" i="1"/>
  <c r="Q8" i="1"/>
  <c r="Q9" i="1"/>
  <c r="R9" i="1" s="1"/>
  <c r="Q10" i="1"/>
  <c r="R10" i="1" s="1"/>
  <c r="Q55" i="1"/>
  <c r="R55" i="1" s="1"/>
  <c r="Q19" i="1"/>
  <c r="Q20" i="1"/>
  <c r="R20" i="1" s="1"/>
  <c r="Q21" i="1"/>
  <c r="Q28" i="1"/>
  <c r="R28" i="1" s="1"/>
  <c r="Q30" i="1"/>
  <c r="Q34" i="1"/>
  <c r="R34" i="1" s="1"/>
  <c r="Q35" i="1"/>
  <c r="R35" i="1" s="1"/>
  <c r="Q37" i="1"/>
  <c r="Q38" i="1"/>
  <c r="R38" i="1" s="1"/>
  <c r="Q39" i="1"/>
  <c r="Q40" i="1"/>
  <c r="R40" i="1" s="1"/>
  <c r="Q41" i="1"/>
  <c r="R41" i="1" s="1"/>
  <c r="Q47" i="1"/>
  <c r="Q50" i="1"/>
  <c r="R50" i="1" s="1"/>
  <c r="R33" i="1"/>
  <c r="R49" i="1"/>
  <c r="R11" i="1"/>
  <c r="R17" i="1"/>
  <c r="R13" i="1"/>
  <c r="R8" i="1"/>
  <c r="R16" i="1"/>
  <c r="R18" i="1"/>
  <c r="R29" i="1"/>
  <c r="R37" i="1"/>
  <c r="R53" i="1"/>
  <c r="R54" i="1"/>
  <c r="R56" i="1"/>
  <c r="R59" i="1"/>
  <c r="R25" i="1"/>
  <c r="R27" i="1"/>
  <c r="R31" i="1"/>
  <c r="R39" i="1"/>
  <c r="R22" i="1"/>
  <c r="R26" i="1"/>
  <c r="R46" i="1"/>
  <c r="R19" i="1"/>
  <c r="R21" i="1"/>
  <c r="R24" i="1"/>
  <c r="R30" i="1"/>
  <c r="R36" i="1"/>
  <c r="R42" i="1"/>
  <c r="R44" i="1"/>
  <c r="R47" i="1"/>
  <c r="R48" i="1"/>
  <c r="R51" i="1"/>
  <c r="R52" i="1"/>
  <c r="R7" i="1"/>
  <c r="R12" i="1"/>
  <c r="R61" i="1"/>
</calcChain>
</file>

<file path=xl/sharedStrings.xml><?xml version="1.0" encoding="utf-8"?>
<sst xmlns="http://schemas.openxmlformats.org/spreadsheetml/2006/main" count="99" uniqueCount="92">
  <si>
    <t>Var 1</t>
  </si>
  <si>
    <t>Var 3</t>
  </si>
  <si>
    <t>Var 5</t>
  </si>
  <si>
    <t>Var 6</t>
  </si>
  <si>
    <t>Var 7</t>
  </si>
  <si>
    <t>Var 8</t>
  </si>
  <si>
    <t>Var 10</t>
  </si>
  <si>
    <t>Var 11</t>
  </si>
  <si>
    <t>Var 12</t>
  </si>
  <si>
    <t>Var 14</t>
  </si>
  <si>
    <t>Var 15</t>
  </si>
  <si>
    <t>Var 16</t>
  </si>
  <si>
    <t>Var 17</t>
  </si>
  <si>
    <t>Var 18</t>
  </si>
  <si>
    <t>Var 19</t>
  </si>
  <si>
    <t>Var 20</t>
  </si>
  <si>
    <t>Var 23</t>
  </si>
  <si>
    <t>Var 24</t>
  </si>
  <si>
    <t>Var 26</t>
  </si>
  <si>
    <t>Var 28</t>
  </si>
  <si>
    <t>Var 34</t>
  </si>
  <si>
    <t>Var 41</t>
  </si>
  <si>
    <t>Var 43</t>
  </si>
  <si>
    <t>Var 44</t>
  </si>
  <si>
    <t>Var 45</t>
  </si>
  <si>
    <t>Var 46</t>
  </si>
  <si>
    <t>wt</t>
  </si>
  <si>
    <t>LV</t>
  </si>
  <si>
    <t>wt average</t>
  </si>
  <si>
    <t>LV average</t>
  </si>
  <si>
    <t>Vgl wt</t>
  </si>
  <si>
    <t>epoxide</t>
  </si>
  <si>
    <t>3-OH-a-I</t>
  </si>
  <si>
    <t>Design 1</t>
  </si>
  <si>
    <t>Design 2</t>
  </si>
  <si>
    <t>Design 3</t>
  </si>
  <si>
    <t>Design 4</t>
  </si>
  <si>
    <t>Design 5</t>
  </si>
  <si>
    <t>Design 6</t>
  </si>
  <si>
    <t>Design 7</t>
  </si>
  <si>
    <t>Design 8</t>
  </si>
  <si>
    <t>Design 9</t>
  </si>
  <si>
    <t>Design 10</t>
  </si>
  <si>
    <t>Design 11</t>
  </si>
  <si>
    <t>Design 12</t>
  </si>
  <si>
    <t>Design 13</t>
  </si>
  <si>
    <t>Design 14</t>
  </si>
  <si>
    <t>Design 15</t>
  </si>
  <si>
    <t>Design 16</t>
  </si>
  <si>
    <t>Design 17</t>
  </si>
  <si>
    <t>Design 18</t>
  </si>
  <si>
    <t>Design 19</t>
  </si>
  <si>
    <t>Design 20</t>
  </si>
  <si>
    <t>Design 21</t>
  </si>
  <si>
    <t>Design 22</t>
  </si>
  <si>
    <t>Design 23</t>
  </si>
  <si>
    <t>Design 24</t>
  </si>
  <si>
    <t>Design 25</t>
  </si>
  <si>
    <t>Design 26</t>
  </si>
  <si>
    <t>Design 27</t>
  </si>
  <si>
    <t>Design 28</t>
  </si>
  <si>
    <t>Design 29</t>
  </si>
  <si>
    <t>Design 30</t>
  </si>
  <si>
    <t>Design 31</t>
  </si>
  <si>
    <t>Design 32</t>
  </si>
  <si>
    <t>Design 33</t>
  </si>
  <si>
    <t>Design 34</t>
  </si>
  <si>
    <t>Design 35</t>
  </si>
  <si>
    <t>Design 36</t>
  </si>
  <si>
    <t>Design 37</t>
  </si>
  <si>
    <t>Design 38</t>
  </si>
  <si>
    <t>Design 39</t>
  </si>
  <si>
    <t>Design 40</t>
  </si>
  <si>
    <t>Design 41</t>
  </si>
  <si>
    <t>Design 42</t>
  </si>
  <si>
    <t>Design 43</t>
  </si>
  <si>
    <t>Design 44</t>
  </si>
  <si>
    <t>Design 45</t>
  </si>
  <si>
    <t>Design 46</t>
  </si>
  <si>
    <t>Design 47</t>
  </si>
  <si>
    <t>Design 48</t>
  </si>
  <si>
    <t>Design 49</t>
  </si>
  <si>
    <t>Design 50</t>
  </si>
  <si>
    <t>Retention time</t>
  </si>
  <si>
    <t>Product</t>
  </si>
  <si>
    <t>Integrated Area</t>
  </si>
  <si>
    <t>Division of integrated area by area IS</t>
  </si>
  <si>
    <t>Internal Standard (IS)</t>
  </si>
  <si>
    <t>Deduction of background reaction (LV)</t>
  </si>
  <si>
    <t>LV = background reaction, empty vector (microtiter plate vials in which yeast grew but the inserted plasmid contained lacZ)</t>
  </si>
  <si>
    <t>Total sum of product</t>
  </si>
  <si>
    <t>Total sum of product divided by wild type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</si>
</sst>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059D-8E49-4AC7-84AF-A688A7F53DE7}">
  <dimension ref="A1:U64"/>
  <sheetViews>
    <sheetView tabSelected="1" zoomScale="115" zoomScaleNormal="115" workbookViewId="0">
      <pane ySplit="2" topLeftCell="A3" activePane="bottomLeft" state="frozen"/>
      <selection pane="bottomLeft" activeCell="A60" sqref="A60"/>
    </sheetView>
  </sheetViews>
  <sheetFormatPr defaultRowHeight="15" x14ac:dyDescent="0.25"/>
  <cols>
    <col min="1" max="1" width="14.5703125" bestFit="1" customWidth="1"/>
    <col min="2" max="2" width="20" bestFit="1" customWidth="1"/>
    <col min="6" max="7" width="9.140625" customWidth="1"/>
    <col min="8" max="8" width="10.7109375" customWidth="1"/>
    <col min="9" max="9" width="12.28515625" customWidth="1"/>
    <col min="10" max="10" width="16.85546875" customWidth="1"/>
    <col min="11" max="12" width="9.140625" customWidth="1"/>
    <col min="13" max="13" width="12" customWidth="1"/>
    <col min="14" max="14" width="9.140625" style="1" customWidth="1"/>
    <col min="15" max="15" width="14" style="1" customWidth="1"/>
    <col min="17" max="17" width="23.140625" customWidth="1"/>
    <col min="18" max="18" width="24.85546875" customWidth="1"/>
  </cols>
  <sheetData>
    <row r="1" spans="1:21" ht="45" x14ac:dyDescent="0.25">
      <c r="A1" s="3"/>
      <c r="B1" s="4" t="s">
        <v>85</v>
      </c>
      <c r="C1" s="4"/>
      <c r="D1" s="4"/>
      <c r="E1" s="4"/>
      <c r="F1" s="5"/>
      <c r="G1" s="5"/>
      <c r="H1" s="4" t="s">
        <v>86</v>
      </c>
      <c r="I1" s="4"/>
      <c r="J1" s="4"/>
      <c r="K1" s="5"/>
      <c r="L1" s="5"/>
      <c r="M1" s="4" t="s">
        <v>88</v>
      </c>
      <c r="N1" s="4"/>
      <c r="O1" s="4"/>
      <c r="P1" s="6"/>
      <c r="Q1" s="5" t="s">
        <v>90</v>
      </c>
      <c r="R1" s="5" t="s">
        <v>91</v>
      </c>
      <c r="S1" s="3"/>
      <c r="T1" s="3"/>
      <c r="U1" s="3"/>
    </row>
    <row r="2" spans="1:21" x14ac:dyDescent="0.25">
      <c r="A2" t="s">
        <v>83</v>
      </c>
      <c r="C2">
        <v>13.67</v>
      </c>
      <c r="D2">
        <v>15.8</v>
      </c>
      <c r="E2">
        <v>16.100000000000001</v>
      </c>
      <c r="H2">
        <v>13.75</v>
      </c>
      <c r="I2">
        <v>15.8</v>
      </c>
      <c r="J2">
        <v>16.100000000000001</v>
      </c>
      <c r="M2">
        <v>13.75</v>
      </c>
      <c r="N2" s="1">
        <v>15.8</v>
      </c>
      <c r="O2" s="1">
        <v>16.100000000000001</v>
      </c>
    </row>
    <row r="3" spans="1:21" x14ac:dyDescent="0.25">
      <c r="A3" t="s">
        <v>84</v>
      </c>
      <c r="B3" t="s">
        <v>87</v>
      </c>
      <c r="C3" t="s">
        <v>31</v>
      </c>
      <c r="D3" t="s">
        <v>32</v>
      </c>
      <c r="E3" t="s">
        <v>32</v>
      </c>
    </row>
    <row r="4" spans="1:21" x14ac:dyDescent="0.25">
      <c r="A4" s="2" t="s">
        <v>33</v>
      </c>
      <c r="B4">
        <v>6803265</v>
      </c>
      <c r="C4">
        <v>0</v>
      </c>
      <c r="D4">
        <v>0</v>
      </c>
      <c r="E4">
        <v>59411</v>
      </c>
      <c r="H4">
        <f t="shared" ref="H4:H35" si="0">C4/$B4</f>
        <v>0</v>
      </c>
      <c r="I4">
        <f>D4/$B4</f>
        <v>0</v>
      </c>
      <c r="J4">
        <f t="shared" ref="J4:J35" si="1">E4/$B4</f>
        <v>8.7327187754703064E-3</v>
      </c>
      <c r="M4" s="1">
        <f t="shared" ref="M4:M35" si="2">H4-H$61</f>
        <v>0</v>
      </c>
      <c r="N4" s="1">
        <f t="shared" ref="N4:N35" si="3">I4-I$61</f>
        <v>0</v>
      </c>
      <c r="O4" s="1">
        <f t="shared" ref="O4:O35" si="4">J4-J$61</f>
        <v>8.7327187754703064E-3</v>
      </c>
      <c r="Q4" s="1">
        <f t="shared" ref="Q4:Q35" si="5">SUM(M4:O4)</f>
        <v>8.7327187754703064E-3</v>
      </c>
      <c r="R4" s="1">
        <f>Q4/$Q$60</f>
        <v>7.4170823154626267E-2</v>
      </c>
    </row>
    <row r="5" spans="1:21" x14ac:dyDescent="0.25">
      <c r="A5" s="2" t="s">
        <v>34</v>
      </c>
      <c r="B5">
        <v>6410283</v>
      </c>
      <c r="C5">
        <v>0</v>
      </c>
      <c r="D5">
        <v>0</v>
      </c>
      <c r="E5">
        <v>179039</v>
      </c>
      <c r="H5">
        <f t="shared" si="0"/>
        <v>0</v>
      </c>
      <c r="I5">
        <f t="shared" ref="I4:I35" si="6">D5/$B5</f>
        <v>0</v>
      </c>
      <c r="J5">
        <f t="shared" si="1"/>
        <v>2.7929968146492127E-2</v>
      </c>
      <c r="M5" s="1">
        <f t="shared" si="2"/>
        <v>0</v>
      </c>
      <c r="N5" s="1">
        <f t="shared" si="3"/>
        <v>0</v>
      </c>
      <c r="O5" s="1">
        <f t="shared" si="4"/>
        <v>2.7929968146492127E-2</v>
      </c>
      <c r="Q5">
        <f t="shared" si="5"/>
        <v>2.7929968146492127E-2</v>
      </c>
      <c r="R5" s="1">
        <f t="shared" ref="R5:R61" si="7">Q5/$Q$60</f>
        <v>0.23722150928835395</v>
      </c>
    </row>
    <row r="6" spans="1:21" x14ac:dyDescent="0.25">
      <c r="A6" s="2" t="s">
        <v>35</v>
      </c>
      <c r="B6">
        <v>7070654</v>
      </c>
      <c r="C6">
        <v>0</v>
      </c>
      <c r="D6">
        <v>41869</v>
      </c>
      <c r="E6">
        <v>139334</v>
      </c>
      <c r="H6">
        <f t="shared" si="0"/>
        <v>0</v>
      </c>
      <c r="I6">
        <f t="shared" si="6"/>
        <v>5.9215173023598666E-3</v>
      </c>
      <c r="J6">
        <f t="shared" si="1"/>
        <v>1.9705956478707626E-2</v>
      </c>
      <c r="M6" s="1">
        <f t="shared" si="2"/>
        <v>0</v>
      </c>
      <c r="N6" s="1">
        <f t="shared" si="3"/>
        <v>5.9215173023598666E-3</v>
      </c>
      <c r="O6" s="1">
        <f t="shared" si="4"/>
        <v>1.9705956478707626E-2</v>
      </c>
      <c r="Q6">
        <f t="shared" si="5"/>
        <v>2.5627473781067493E-2</v>
      </c>
      <c r="R6" s="1">
        <f t="shared" si="7"/>
        <v>0.21766541149299851</v>
      </c>
    </row>
    <row r="7" spans="1:21" x14ac:dyDescent="0.25">
      <c r="A7" s="2" t="s">
        <v>36</v>
      </c>
      <c r="B7">
        <v>7511808</v>
      </c>
      <c r="C7">
        <v>0</v>
      </c>
      <c r="D7">
        <v>0</v>
      </c>
      <c r="E7">
        <v>159926</v>
      </c>
      <c r="H7">
        <f t="shared" si="0"/>
        <v>0</v>
      </c>
      <c r="I7">
        <f t="shared" si="6"/>
        <v>0</v>
      </c>
      <c r="J7">
        <f t="shared" si="1"/>
        <v>2.1289947772893024E-2</v>
      </c>
      <c r="M7" s="1">
        <f t="shared" si="2"/>
        <v>0</v>
      </c>
      <c r="N7" s="1">
        <f t="shared" si="3"/>
        <v>0</v>
      </c>
      <c r="O7" s="1">
        <f t="shared" si="4"/>
        <v>2.1289947772893024E-2</v>
      </c>
      <c r="Q7">
        <f t="shared" si="5"/>
        <v>2.1289947772893024E-2</v>
      </c>
      <c r="R7" s="1">
        <f t="shared" si="7"/>
        <v>0.18082489449563599</v>
      </c>
    </row>
    <row r="8" spans="1:21" x14ac:dyDescent="0.25">
      <c r="A8" s="2" t="s">
        <v>37</v>
      </c>
      <c r="B8">
        <v>7823808</v>
      </c>
      <c r="C8">
        <v>0</v>
      </c>
      <c r="D8">
        <v>0</v>
      </c>
      <c r="E8">
        <v>109914</v>
      </c>
      <c r="H8">
        <f t="shared" si="0"/>
        <v>0</v>
      </c>
      <c r="I8">
        <f t="shared" si="6"/>
        <v>0</v>
      </c>
      <c r="J8">
        <f t="shared" si="1"/>
        <v>1.4048657635770203E-2</v>
      </c>
      <c r="M8" s="1">
        <f t="shared" si="2"/>
        <v>0</v>
      </c>
      <c r="N8" s="1">
        <f t="shared" si="3"/>
        <v>0</v>
      </c>
      <c r="O8" s="1">
        <f t="shared" si="4"/>
        <v>1.4048657635770203E-2</v>
      </c>
      <c r="Q8">
        <f t="shared" si="5"/>
        <v>1.4048657635770203E-2</v>
      </c>
      <c r="R8" s="1">
        <f t="shared" si="7"/>
        <v>0.11932143102896199</v>
      </c>
    </row>
    <row r="9" spans="1:21" x14ac:dyDescent="0.25">
      <c r="A9" s="2" t="s">
        <v>38</v>
      </c>
      <c r="B9">
        <v>7789717</v>
      </c>
      <c r="C9">
        <v>0</v>
      </c>
      <c r="D9">
        <v>0</v>
      </c>
      <c r="E9">
        <v>229073</v>
      </c>
      <c r="H9">
        <f t="shared" si="0"/>
        <v>0</v>
      </c>
      <c r="I9">
        <f t="shared" si="6"/>
        <v>0</v>
      </c>
      <c r="J9">
        <f t="shared" si="1"/>
        <v>2.9407101695735544E-2</v>
      </c>
      <c r="M9" s="1">
        <f t="shared" si="2"/>
        <v>0</v>
      </c>
      <c r="N9" s="1">
        <f t="shared" si="3"/>
        <v>0</v>
      </c>
      <c r="O9" s="1">
        <f t="shared" si="4"/>
        <v>2.9407101695735544E-2</v>
      </c>
      <c r="Q9">
        <f t="shared" si="5"/>
        <v>2.9407101695735544E-2</v>
      </c>
      <c r="R9" s="1">
        <f t="shared" si="7"/>
        <v>0.24976745449438154</v>
      </c>
    </row>
    <row r="10" spans="1:21" x14ac:dyDescent="0.25">
      <c r="A10" s="2" t="s">
        <v>39</v>
      </c>
      <c r="B10">
        <v>7790708</v>
      </c>
      <c r="C10">
        <v>0</v>
      </c>
      <c r="D10">
        <v>0</v>
      </c>
      <c r="E10">
        <v>33424</v>
      </c>
      <c r="H10">
        <f t="shared" si="0"/>
        <v>0</v>
      </c>
      <c r="I10">
        <f t="shared" si="6"/>
        <v>0</v>
      </c>
      <c r="J10">
        <f t="shared" si="1"/>
        <v>4.290239089951773E-3</v>
      </c>
      <c r="M10" s="1">
        <f t="shared" si="2"/>
        <v>0</v>
      </c>
      <c r="N10" s="1">
        <f t="shared" si="3"/>
        <v>0</v>
      </c>
      <c r="O10" s="1">
        <f t="shared" si="4"/>
        <v>4.290239089951773E-3</v>
      </c>
      <c r="Q10">
        <f t="shared" si="5"/>
        <v>4.290239089951773E-3</v>
      </c>
      <c r="R10" s="1">
        <f t="shared" si="7"/>
        <v>3.643888839357938E-2</v>
      </c>
    </row>
    <row r="11" spans="1:21" x14ac:dyDescent="0.25">
      <c r="A11" s="2" t="s">
        <v>40</v>
      </c>
      <c r="B11">
        <v>7498777</v>
      </c>
      <c r="C11">
        <v>0</v>
      </c>
      <c r="D11">
        <v>0</v>
      </c>
      <c r="E11">
        <v>59095</v>
      </c>
      <c r="H11">
        <f t="shared" si="0"/>
        <v>0</v>
      </c>
      <c r="I11">
        <f t="shared" si="6"/>
        <v>0</v>
      </c>
      <c r="J11">
        <f t="shared" si="1"/>
        <v>7.8806183995070132E-3</v>
      </c>
      <c r="M11" s="1">
        <f t="shared" si="2"/>
        <v>0</v>
      </c>
      <c r="N11" s="1">
        <f t="shared" si="3"/>
        <v>0</v>
      </c>
      <c r="O11" s="1">
        <f t="shared" si="4"/>
        <v>7.8806183995070132E-3</v>
      </c>
      <c r="Q11">
        <f t="shared" si="5"/>
        <v>7.8806183995070132E-3</v>
      </c>
      <c r="R11" s="1">
        <f t="shared" si="7"/>
        <v>6.6933559718055757E-2</v>
      </c>
    </row>
    <row r="12" spans="1:21" x14ac:dyDescent="0.25">
      <c r="A12" s="2" t="s">
        <v>41</v>
      </c>
      <c r="B12">
        <v>7720049</v>
      </c>
      <c r="C12">
        <v>0</v>
      </c>
      <c r="D12">
        <v>0</v>
      </c>
      <c r="E12">
        <v>0</v>
      </c>
      <c r="H12">
        <f t="shared" si="0"/>
        <v>0</v>
      </c>
      <c r="I12">
        <f t="shared" si="6"/>
        <v>0</v>
      </c>
      <c r="J12">
        <f t="shared" si="1"/>
        <v>0</v>
      </c>
      <c r="M12" s="1">
        <f t="shared" si="2"/>
        <v>0</v>
      </c>
      <c r="N12" s="1">
        <f t="shared" si="3"/>
        <v>0</v>
      </c>
      <c r="O12" s="1">
        <f t="shared" si="4"/>
        <v>0</v>
      </c>
      <c r="Q12">
        <f t="shared" si="5"/>
        <v>0</v>
      </c>
      <c r="R12" s="1">
        <f t="shared" si="7"/>
        <v>0</v>
      </c>
    </row>
    <row r="13" spans="1:21" x14ac:dyDescent="0.25">
      <c r="A13" s="2" t="s">
        <v>42</v>
      </c>
      <c r="B13">
        <v>7598171</v>
      </c>
      <c r="C13">
        <v>0</v>
      </c>
      <c r="D13">
        <v>0</v>
      </c>
      <c r="E13">
        <v>34312</v>
      </c>
      <c r="H13">
        <f t="shared" si="0"/>
        <v>0</v>
      </c>
      <c r="I13">
        <f t="shared" si="6"/>
        <v>0</v>
      </c>
      <c r="J13">
        <f t="shared" si="1"/>
        <v>4.5158236107084191E-3</v>
      </c>
      <c r="M13" s="1">
        <f t="shared" si="2"/>
        <v>0</v>
      </c>
      <c r="N13" s="1">
        <f t="shared" si="3"/>
        <v>0</v>
      </c>
      <c r="O13" s="1">
        <f t="shared" si="4"/>
        <v>4.5158236107084191E-3</v>
      </c>
      <c r="Q13">
        <f t="shared" si="5"/>
        <v>4.5158236107084191E-3</v>
      </c>
      <c r="R13" s="1">
        <f t="shared" si="7"/>
        <v>3.8354876990677106E-2</v>
      </c>
    </row>
    <row r="14" spans="1:21" x14ac:dyDescent="0.25">
      <c r="A14" s="2" t="s">
        <v>43</v>
      </c>
      <c r="B14">
        <v>7249772</v>
      </c>
      <c r="C14">
        <v>67589</v>
      </c>
      <c r="D14">
        <v>280675</v>
      </c>
      <c r="E14">
        <v>3141465</v>
      </c>
      <c r="H14">
        <f t="shared" si="0"/>
        <v>9.3229138792226846E-3</v>
      </c>
      <c r="I14">
        <f t="shared" si="6"/>
        <v>3.8715010623782374E-2</v>
      </c>
      <c r="J14">
        <f t="shared" si="1"/>
        <v>0.43331914438136815</v>
      </c>
      <c r="M14" s="1">
        <f t="shared" si="2"/>
        <v>9.3229138792226846E-3</v>
      </c>
      <c r="N14" s="1">
        <f t="shared" si="3"/>
        <v>3.8715010623782374E-2</v>
      </c>
      <c r="O14" s="1">
        <f t="shared" si="4"/>
        <v>0.43331914438136815</v>
      </c>
      <c r="Q14">
        <f t="shared" si="5"/>
        <v>0.48135706888437318</v>
      </c>
      <c r="R14" s="1">
        <f t="shared" si="7"/>
        <v>4.0883773940755699</v>
      </c>
    </row>
    <row r="15" spans="1:21" x14ac:dyDescent="0.25">
      <c r="A15" s="2" t="s">
        <v>44</v>
      </c>
      <c r="B15">
        <v>7556210</v>
      </c>
      <c r="C15">
        <v>0</v>
      </c>
      <c r="D15">
        <v>0</v>
      </c>
      <c r="E15">
        <v>14507</v>
      </c>
      <c r="H15">
        <f t="shared" si="0"/>
        <v>0</v>
      </c>
      <c r="I15">
        <f t="shared" si="6"/>
        <v>0</v>
      </c>
      <c r="J15">
        <f t="shared" si="1"/>
        <v>1.9198778223474466E-3</v>
      </c>
      <c r="M15" s="1">
        <f t="shared" si="2"/>
        <v>0</v>
      </c>
      <c r="N15" s="1">
        <f t="shared" si="3"/>
        <v>0</v>
      </c>
      <c r="O15" s="1">
        <f t="shared" si="4"/>
        <v>1.9198778223474466E-3</v>
      </c>
      <c r="Q15">
        <f t="shared" si="5"/>
        <v>1.9198778223474466E-3</v>
      </c>
      <c r="R15" s="1">
        <f t="shared" si="7"/>
        <v>1.6306367135033778E-2</v>
      </c>
    </row>
    <row r="16" spans="1:21" x14ac:dyDescent="0.25">
      <c r="A16" s="2" t="s">
        <v>45</v>
      </c>
      <c r="B16">
        <v>7764824</v>
      </c>
      <c r="C16">
        <v>0</v>
      </c>
      <c r="D16">
        <v>0</v>
      </c>
      <c r="E16">
        <v>0</v>
      </c>
      <c r="H16">
        <f t="shared" si="0"/>
        <v>0</v>
      </c>
      <c r="I16">
        <f t="shared" si="6"/>
        <v>0</v>
      </c>
      <c r="J16">
        <f t="shared" si="1"/>
        <v>0</v>
      </c>
      <c r="M16" s="1">
        <f t="shared" si="2"/>
        <v>0</v>
      </c>
      <c r="N16" s="1">
        <f t="shared" si="3"/>
        <v>0</v>
      </c>
      <c r="O16" s="1">
        <f t="shared" si="4"/>
        <v>0</v>
      </c>
      <c r="Q16">
        <f t="shared" si="5"/>
        <v>0</v>
      </c>
      <c r="R16" s="1">
        <f t="shared" si="7"/>
        <v>0</v>
      </c>
    </row>
    <row r="17" spans="1:18" x14ac:dyDescent="0.25">
      <c r="A17" s="2" t="s">
        <v>46</v>
      </c>
      <c r="B17">
        <v>7745688</v>
      </c>
      <c r="C17">
        <v>0</v>
      </c>
      <c r="D17">
        <v>21282</v>
      </c>
      <c r="E17">
        <v>38429</v>
      </c>
      <c r="H17">
        <f t="shared" si="0"/>
        <v>0</v>
      </c>
      <c r="I17">
        <f t="shared" si="6"/>
        <v>2.7475932415558179E-3</v>
      </c>
      <c r="J17">
        <f t="shared" si="1"/>
        <v>4.9613410713160661E-3</v>
      </c>
      <c r="M17" s="1">
        <f t="shared" si="2"/>
        <v>0</v>
      </c>
      <c r="N17" s="1">
        <f t="shared" si="3"/>
        <v>2.7475932415558179E-3</v>
      </c>
      <c r="O17" s="1">
        <f t="shared" si="4"/>
        <v>4.9613410713160661E-3</v>
      </c>
      <c r="Q17">
        <f t="shared" si="5"/>
        <v>7.7089343128718835E-3</v>
      </c>
      <c r="R17" s="1">
        <f t="shared" si="7"/>
        <v>6.5475371225367021E-2</v>
      </c>
    </row>
    <row r="18" spans="1:18" x14ac:dyDescent="0.25">
      <c r="A18" s="2" t="s">
        <v>47</v>
      </c>
      <c r="B18">
        <v>6865336</v>
      </c>
      <c r="C18">
        <v>0</v>
      </c>
      <c r="D18">
        <v>0</v>
      </c>
      <c r="E18">
        <v>64052</v>
      </c>
      <c r="H18">
        <f t="shared" si="0"/>
        <v>0</v>
      </c>
      <c r="I18">
        <f t="shared" si="6"/>
        <v>0</v>
      </c>
      <c r="J18">
        <f t="shared" si="1"/>
        <v>9.329769147496933E-3</v>
      </c>
      <c r="M18" s="1">
        <f t="shared" si="2"/>
        <v>0</v>
      </c>
      <c r="N18" s="1">
        <f t="shared" si="3"/>
        <v>0</v>
      </c>
      <c r="O18" s="1">
        <f t="shared" si="4"/>
        <v>9.329769147496933E-3</v>
      </c>
      <c r="Q18">
        <f t="shared" si="5"/>
        <v>9.329769147496933E-3</v>
      </c>
      <c r="R18" s="1">
        <f t="shared" si="7"/>
        <v>7.9241834679969439E-2</v>
      </c>
    </row>
    <row r="19" spans="1:18" x14ac:dyDescent="0.25">
      <c r="A19" s="2" t="s">
        <v>48</v>
      </c>
      <c r="B19">
        <v>7362037</v>
      </c>
      <c r="C19">
        <v>68171</v>
      </c>
      <c r="D19">
        <v>39613</v>
      </c>
      <c r="E19">
        <v>587286</v>
      </c>
      <c r="H19">
        <f t="shared" si="0"/>
        <v>9.2598013294418382E-3</v>
      </c>
      <c r="I19">
        <f t="shared" si="6"/>
        <v>5.3807118872127371E-3</v>
      </c>
      <c r="J19">
        <f t="shared" si="1"/>
        <v>7.9772215217065609E-2</v>
      </c>
      <c r="M19" s="1">
        <f t="shared" si="2"/>
        <v>9.2598013294418382E-3</v>
      </c>
      <c r="N19" s="1">
        <f t="shared" si="3"/>
        <v>5.3807118872127371E-3</v>
      </c>
      <c r="O19" s="1">
        <f t="shared" si="4"/>
        <v>7.9772215217065609E-2</v>
      </c>
      <c r="Q19">
        <f t="shared" si="5"/>
        <v>9.4412728433720186E-2</v>
      </c>
      <c r="R19" s="1">
        <f t="shared" si="7"/>
        <v>0.80188884633194668</v>
      </c>
    </row>
    <row r="20" spans="1:18" x14ac:dyDescent="0.25">
      <c r="A20" s="2" t="s">
        <v>49</v>
      </c>
      <c r="B20">
        <v>7854296</v>
      </c>
      <c r="C20">
        <v>0</v>
      </c>
      <c r="D20">
        <v>29531</v>
      </c>
      <c r="E20">
        <v>174260</v>
      </c>
      <c r="H20">
        <f t="shared" si="0"/>
        <v>0</v>
      </c>
      <c r="I20">
        <f t="shared" si="6"/>
        <v>3.7598532064490567E-3</v>
      </c>
      <c r="J20">
        <f t="shared" si="1"/>
        <v>2.2186584259111193E-2</v>
      </c>
      <c r="M20" s="1">
        <f t="shared" si="2"/>
        <v>0</v>
      </c>
      <c r="N20" s="1">
        <f t="shared" si="3"/>
        <v>3.7598532064490567E-3</v>
      </c>
      <c r="O20" s="1">
        <f t="shared" si="4"/>
        <v>2.2186584259111193E-2</v>
      </c>
      <c r="Q20">
        <f t="shared" si="5"/>
        <v>2.5946437465560249E-2</v>
      </c>
      <c r="R20" s="1">
        <f t="shared" si="7"/>
        <v>0.22037451041665942</v>
      </c>
    </row>
    <row r="21" spans="1:18" x14ac:dyDescent="0.25">
      <c r="A21" s="2" t="s">
        <v>50</v>
      </c>
      <c r="B21">
        <v>7465596</v>
      </c>
      <c r="C21">
        <v>0</v>
      </c>
      <c r="D21">
        <v>99498</v>
      </c>
      <c r="E21">
        <v>5750798</v>
      </c>
      <c r="H21">
        <f t="shared" si="0"/>
        <v>0</v>
      </c>
      <c r="I21">
        <f t="shared" si="6"/>
        <v>1.332753607347625E-2</v>
      </c>
      <c r="J21">
        <f t="shared" si="1"/>
        <v>0.77030661718099935</v>
      </c>
      <c r="M21" s="1">
        <f t="shared" si="2"/>
        <v>0</v>
      </c>
      <c r="N21" s="1">
        <f t="shared" si="3"/>
        <v>1.332753607347625E-2</v>
      </c>
      <c r="O21" s="1">
        <f t="shared" si="4"/>
        <v>0.77030661718099935</v>
      </c>
      <c r="Q21">
        <f t="shared" si="5"/>
        <v>0.78363415325447561</v>
      </c>
      <c r="R21" s="1">
        <f t="shared" si="7"/>
        <v>6.6557496804118443</v>
      </c>
    </row>
    <row r="22" spans="1:18" x14ac:dyDescent="0.25">
      <c r="A22" s="2" t="s">
        <v>51</v>
      </c>
      <c r="B22">
        <v>7852350</v>
      </c>
      <c r="C22">
        <v>0</v>
      </c>
      <c r="D22">
        <v>0</v>
      </c>
      <c r="E22">
        <v>145988</v>
      </c>
      <c r="H22">
        <f t="shared" si="0"/>
        <v>0</v>
      </c>
      <c r="I22">
        <f t="shared" si="6"/>
        <v>0</v>
      </c>
      <c r="J22">
        <f t="shared" si="1"/>
        <v>1.8591631804491648E-2</v>
      </c>
      <c r="M22" s="1">
        <f t="shared" si="2"/>
        <v>0</v>
      </c>
      <c r="N22" s="1">
        <f t="shared" si="3"/>
        <v>0</v>
      </c>
      <c r="O22" s="1">
        <f t="shared" si="4"/>
        <v>1.8591631804491648E-2</v>
      </c>
      <c r="Q22">
        <f t="shared" si="5"/>
        <v>1.8591631804491648E-2</v>
      </c>
      <c r="R22" s="1">
        <f t="shared" si="7"/>
        <v>0.15790690965570575</v>
      </c>
    </row>
    <row r="23" spans="1:18" x14ac:dyDescent="0.25">
      <c r="A23" s="2" t="s">
        <v>52</v>
      </c>
      <c r="B23">
        <v>7690019</v>
      </c>
      <c r="C23">
        <v>0</v>
      </c>
      <c r="D23">
        <v>0</v>
      </c>
      <c r="E23">
        <v>17806</v>
      </c>
      <c r="H23">
        <f t="shared" si="0"/>
        <v>0</v>
      </c>
      <c r="I23">
        <f t="shared" si="6"/>
        <v>0</v>
      </c>
      <c r="J23">
        <f t="shared" si="1"/>
        <v>2.3154689214682045E-3</v>
      </c>
      <c r="M23" s="1">
        <f t="shared" si="2"/>
        <v>0</v>
      </c>
      <c r="N23" s="1">
        <f t="shared" si="3"/>
        <v>0</v>
      </c>
      <c r="O23" s="1">
        <f t="shared" si="4"/>
        <v>2.3154689214682045E-3</v>
      </c>
      <c r="Q23">
        <f t="shared" si="5"/>
        <v>2.3154689214682045E-3</v>
      </c>
      <c r="R23" s="1">
        <f t="shared" si="7"/>
        <v>1.9666296408932762E-2</v>
      </c>
    </row>
    <row r="24" spans="1:18" x14ac:dyDescent="0.25">
      <c r="A24" s="2" t="s">
        <v>53</v>
      </c>
      <c r="B24">
        <v>6819756</v>
      </c>
      <c r="C24">
        <v>0</v>
      </c>
      <c r="D24">
        <v>0</v>
      </c>
      <c r="E24">
        <v>103995</v>
      </c>
      <c r="H24">
        <f t="shared" si="0"/>
        <v>0</v>
      </c>
      <c r="I24">
        <f t="shared" si="6"/>
        <v>0</v>
      </c>
      <c r="J24">
        <f t="shared" si="1"/>
        <v>1.5249079292572932E-2</v>
      </c>
      <c r="M24" s="1">
        <f t="shared" si="2"/>
        <v>0</v>
      </c>
      <c r="N24" s="1">
        <f t="shared" si="3"/>
        <v>0</v>
      </c>
      <c r="O24" s="1">
        <f t="shared" si="4"/>
        <v>1.5249079292572932E-2</v>
      </c>
      <c r="Q24">
        <f t="shared" si="5"/>
        <v>1.5249079292572932E-2</v>
      </c>
      <c r="R24" s="1">
        <f t="shared" si="7"/>
        <v>0.12951714037297479</v>
      </c>
    </row>
    <row r="25" spans="1:18" x14ac:dyDescent="0.25">
      <c r="A25" s="2" t="s">
        <v>54</v>
      </c>
      <c r="B25">
        <v>7551112</v>
      </c>
      <c r="C25">
        <v>0</v>
      </c>
      <c r="D25">
        <v>0</v>
      </c>
      <c r="E25">
        <v>86258</v>
      </c>
      <c r="H25">
        <f t="shared" si="0"/>
        <v>0</v>
      </c>
      <c r="I25">
        <f t="shared" si="6"/>
        <v>0</v>
      </c>
      <c r="J25">
        <f t="shared" si="1"/>
        <v>1.1423218196207393E-2</v>
      </c>
      <c r="M25" s="1">
        <f t="shared" si="2"/>
        <v>0</v>
      </c>
      <c r="N25" s="1">
        <f t="shared" si="3"/>
        <v>0</v>
      </c>
      <c r="O25" s="1">
        <f t="shared" si="4"/>
        <v>1.1423218196207393E-2</v>
      </c>
      <c r="Q25">
        <f t="shared" si="5"/>
        <v>1.1423218196207393E-2</v>
      </c>
      <c r="R25" s="1">
        <f t="shared" si="7"/>
        <v>9.7022418615785214E-2</v>
      </c>
    </row>
    <row r="26" spans="1:18" x14ac:dyDescent="0.25">
      <c r="A26" s="2" t="s">
        <v>55</v>
      </c>
      <c r="B26">
        <v>8078598</v>
      </c>
      <c r="C26">
        <v>0</v>
      </c>
      <c r="D26">
        <v>0</v>
      </c>
      <c r="E26">
        <v>259573</v>
      </c>
      <c r="H26">
        <f t="shared" si="0"/>
        <v>0</v>
      </c>
      <c r="I26">
        <f t="shared" si="6"/>
        <v>0</v>
      </c>
      <c r="J26">
        <f t="shared" si="1"/>
        <v>3.2130946483535879E-2</v>
      </c>
      <c r="M26" s="1">
        <f t="shared" si="2"/>
        <v>0</v>
      </c>
      <c r="N26" s="1">
        <f t="shared" si="3"/>
        <v>0</v>
      </c>
      <c r="O26" s="1">
        <f t="shared" si="4"/>
        <v>3.2130946483535879E-2</v>
      </c>
      <c r="Q26">
        <f t="shared" si="5"/>
        <v>3.2130946483535879E-2</v>
      </c>
      <c r="R26" s="1">
        <f t="shared" si="7"/>
        <v>0.27290226683072732</v>
      </c>
    </row>
    <row r="27" spans="1:18" x14ac:dyDescent="0.25">
      <c r="A27" s="2" t="s">
        <v>56</v>
      </c>
      <c r="B27">
        <v>8121919</v>
      </c>
      <c r="C27">
        <v>0</v>
      </c>
      <c r="D27">
        <v>118173</v>
      </c>
      <c r="E27">
        <v>486062</v>
      </c>
      <c r="H27">
        <f t="shared" si="0"/>
        <v>0</v>
      </c>
      <c r="I27">
        <f t="shared" si="6"/>
        <v>1.4549886547748137E-2</v>
      </c>
      <c r="J27">
        <f t="shared" si="1"/>
        <v>5.9845708877421702E-2</v>
      </c>
      <c r="M27" s="1">
        <f t="shared" si="2"/>
        <v>0</v>
      </c>
      <c r="N27" s="1">
        <f t="shared" si="3"/>
        <v>1.4549886547748137E-2</v>
      </c>
      <c r="O27" s="1">
        <f t="shared" si="4"/>
        <v>5.9845708877421702E-2</v>
      </c>
      <c r="Q27">
        <f t="shared" si="5"/>
        <v>7.4395595425169839E-2</v>
      </c>
      <c r="R27" s="1">
        <f t="shared" si="7"/>
        <v>0.63187452769727148</v>
      </c>
    </row>
    <row r="28" spans="1:18" x14ac:dyDescent="0.25">
      <c r="A28" s="2" t="s">
        <v>57</v>
      </c>
      <c r="B28">
        <v>8279674</v>
      </c>
      <c r="C28">
        <v>0</v>
      </c>
      <c r="D28">
        <v>0</v>
      </c>
      <c r="E28">
        <v>98992</v>
      </c>
      <c r="H28">
        <f t="shared" si="0"/>
        <v>0</v>
      </c>
      <c r="I28">
        <f t="shared" si="6"/>
        <v>0</v>
      </c>
      <c r="J28">
        <f t="shared" si="1"/>
        <v>1.1956026287991531E-2</v>
      </c>
      <c r="M28" s="1">
        <f t="shared" si="2"/>
        <v>0</v>
      </c>
      <c r="N28" s="1">
        <f t="shared" si="3"/>
        <v>0</v>
      </c>
      <c r="O28" s="1">
        <f t="shared" si="4"/>
        <v>1.1956026287991531E-2</v>
      </c>
      <c r="Q28">
        <f t="shared" si="5"/>
        <v>1.1956026287991531E-2</v>
      </c>
      <c r="R28" s="1">
        <f t="shared" si="7"/>
        <v>0.10154779218696688</v>
      </c>
    </row>
    <row r="29" spans="1:18" x14ac:dyDescent="0.25">
      <c r="A29" s="2" t="s">
        <v>58</v>
      </c>
      <c r="B29">
        <v>8162252</v>
      </c>
      <c r="C29">
        <v>0</v>
      </c>
      <c r="D29">
        <v>231688</v>
      </c>
      <c r="E29">
        <v>2657931</v>
      </c>
      <c r="H29">
        <f t="shared" si="0"/>
        <v>0</v>
      </c>
      <c r="I29">
        <f t="shared" si="6"/>
        <v>2.8385303467719447E-2</v>
      </c>
      <c r="J29">
        <f t="shared" si="1"/>
        <v>0.32563696881693927</v>
      </c>
      <c r="M29" s="1">
        <f t="shared" si="2"/>
        <v>0</v>
      </c>
      <c r="N29" s="1">
        <f t="shared" si="3"/>
        <v>2.8385303467719447E-2</v>
      </c>
      <c r="O29" s="1">
        <f t="shared" si="4"/>
        <v>0.32563696881693927</v>
      </c>
      <c r="Q29">
        <f t="shared" si="5"/>
        <v>0.35402227228465871</v>
      </c>
      <c r="R29" s="1">
        <f t="shared" si="7"/>
        <v>3.0068669363522722</v>
      </c>
    </row>
    <row r="30" spans="1:18" x14ac:dyDescent="0.25">
      <c r="A30" s="2" t="s">
        <v>59</v>
      </c>
      <c r="B30">
        <v>8090223</v>
      </c>
      <c r="C30">
        <v>0</v>
      </c>
      <c r="D30">
        <v>25692</v>
      </c>
      <c r="E30">
        <v>66128</v>
      </c>
      <c r="H30">
        <f t="shared" si="0"/>
        <v>0</v>
      </c>
      <c r="I30">
        <f t="shared" si="6"/>
        <v>3.1756850212905133E-3</v>
      </c>
      <c r="J30">
        <f t="shared" si="1"/>
        <v>8.1738167167950751E-3</v>
      </c>
      <c r="M30" s="1">
        <f t="shared" si="2"/>
        <v>0</v>
      </c>
      <c r="N30" s="1">
        <f t="shared" si="3"/>
        <v>3.1756850212905133E-3</v>
      </c>
      <c r="O30" s="1">
        <f t="shared" si="4"/>
        <v>8.1738167167950751E-3</v>
      </c>
      <c r="Q30">
        <f t="shared" si="5"/>
        <v>1.1349501738085589E-2</v>
      </c>
      <c r="R30" s="1">
        <f t="shared" si="7"/>
        <v>9.6396312300041267E-2</v>
      </c>
    </row>
    <row r="31" spans="1:18" x14ac:dyDescent="0.25">
      <c r="A31" s="2" t="s">
        <v>60</v>
      </c>
      <c r="B31">
        <v>7942173</v>
      </c>
      <c r="C31">
        <v>0</v>
      </c>
      <c r="D31">
        <v>65547</v>
      </c>
      <c r="E31">
        <v>774297</v>
      </c>
      <c r="H31">
        <f t="shared" si="0"/>
        <v>0</v>
      </c>
      <c r="I31">
        <f t="shared" si="6"/>
        <v>8.2530310029761376E-3</v>
      </c>
      <c r="J31">
        <f t="shared" si="1"/>
        <v>9.7491832524927366E-2</v>
      </c>
      <c r="M31" s="1">
        <f t="shared" si="2"/>
        <v>0</v>
      </c>
      <c r="N31" s="1">
        <f t="shared" si="3"/>
        <v>8.2530310029761376E-3</v>
      </c>
      <c r="O31" s="1">
        <f t="shared" si="4"/>
        <v>9.7491832524927366E-2</v>
      </c>
      <c r="Q31">
        <f t="shared" si="5"/>
        <v>0.10574486352790351</v>
      </c>
      <c r="R31" s="1">
        <f t="shared" si="7"/>
        <v>0.89813765608360829</v>
      </c>
    </row>
    <row r="32" spans="1:18" x14ac:dyDescent="0.25">
      <c r="A32" s="2" t="s">
        <v>61</v>
      </c>
      <c r="B32">
        <v>7609338</v>
      </c>
      <c r="C32">
        <v>0</v>
      </c>
      <c r="D32">
        <v>24629</v>
      </c>
      <c r="E32">
        <v>519996</v>
      </c>
      <c r="H32">
        <f t="shared" si="0"/>
        <v>0</v>
      </c>
      <c r="I32">
        <f t="shared" si="6"/>
        <v>3.2366810358535787E-3</v>
      </c>
      <c r="J32">
        <f t="shared" si="1"/>
        <v>6.833656226073806E-2</v>
      </c>
      <c r="M32" s="1">
        <f t="shared" si="2"/>
        <v>0</v>
      </c>
      <c r="N32" s="1">
        <f t="shared" si="3"/>
        <v>3.2366810358535787E-3</v>
      </c>
      <c r="O32" s="1">
        <f t="shared" si="4"/>
        <v>6.833656226073806E-2</v>
      </c>
      <c r="Q32">
        <f t="shared" si="5"/>
        <v>7.1573243296591635E-2</v>
      </c>
      <c r="R32" s="1">
        <f t="shared" si="7"/>
        <v>0.60790304917023241</v>
      </c>
    </row>
    <row r="33" spans="1:18" x14ac:dyDescent="0.25">
      <c r="A33" s="2" t="s">
        <v>62</v>
      </c>
      <c r="B33">
        <v>7632977</v>
      </c>
      <c r="C33">
        <v>0</v>
      </c>
      <c r="D33">
        <v>0</v>
      </c>
      <c r="E33">
        <v>0</v>
      </c>
      <c r="H33">
        <f t="shared" si="0"/>
        <v>0</v>
      </c>
      <c r="I33">
        <f t="shared" si="6"/>
        <v>0</v>
      </c>
      <c r="J33">
        <f t="shared" si="1"/>
        <v>0</v>
      </c>
      <c r="M33" s="1">
        <f t="shared" si="2"/>
        <v>0</v>
      </c>
      <c r="N33" s="1">
        <f t="shared" si="3"/>
        <v>0</v>
      </c>
      <c r="O33" s="1">
        <f t="shared" si="4"/>
        <v>0</v>
      </c>
      <c r="Q33">
        <f t="shared" si="5"/>
        <v>0</v>
      </c>
      <c r="R33" s="1">
        <f t="shared" si="7"/>
        <v>0</v>
      </c>
    </row>
    <row r="34" spans="1:18" x14ac:dyDescent="0.25">
      <c r="A34" s="2" t="s">
        <v>63</v>
      </c>
      <c r="B34">
        <v>7609338</v>
      </c>
      <c r="C34">
        <v>0</v>
      </c>
      <c r="D34">
        <v>24629</v>
      </c>
      <c r="E34">
        <v>519996</v>
      </c>
      <c r="H34">
        <f t="shared" si="0"/>
        <v>0</v>
      </c>
      <c r="I34">
        <f t="shared" si="6"/>
        <v>3.2366810358535787E-3</v>
      </c>
      <c r="J34">
        <f t="shared" si="1"/>
        <v>6.833656226073806E-2</v>
      </c>
      <c r="M34" s="1">
        <f t="shared" si="2"/>
        <v>0</v>
      </c>
      <c r="N34" s="1">
        <f t="shared" si="3"/>
        <v>3.2366810358535787E-3</v>
      </c>
      <c r="O34" s="1">
        <f t="shared" si="4"/>
        <v>6.833656226073806E-2</v>
      </c>
      <c r="Q34">
        <f t="shared" si="5"/>
        <v>7.1573243296591635E-2</v>
      </c>
      <c r="R34" s="1">
        <f t="shared" si="7"/>
        <v>0.60790304917023241</v>
      </c>
    </row>
    <row r="35" spans="1:18" x14ac:dyDescent="0.25">
      <c r="A35" s="2" t="s">
        <v>64</v>
      </c>
      <c r="B35">
        <v>7943577</v>
      </c>
      <c r="C35">
        <v>0</v>
      </c>
      <c r="D35">
        <v>0</v>
      </c>
      <c r="E35">
        <v>101226</v>
      </c>
      <c r="H35">
        <f t="shared" si="0"/>
        <v>0</v>
      </c>
      <c r="I35">
        <f t="shared" si="6"/>
        <v>0</v>
      </c>
      <c r="J35">
        <f t="shared" si="1"/>
        <v>1.2743125672477273E-2</v>
      </c>
      <c r="M35" s="1">
        <f t="shared" si="2"/>
        <v>0</v>
      </c>
      <c r="N35" s="1">
        <f t="shared" si="3"/>
        <v>0</v>
      </c>
      <c r="O35" s="1">
        <f t="shared" si="4"/>
        <v>1.2743125672477273E-2</v>
      </c>
      <c r="Q35">
        <f t="shared" si="5"/>
        <v>1.2743125672477273E-2</v>
      </c>
      <c r="R35" s="1">
        <f t="shared" si="7"/>
        <v>0.10823297360100628</v>
      </c>
    </row>
    <row r="36" spans="1:18" x14ac:dyDescent="0.25">
      <c r="A36" s="2" t="s">
        <v>65</v>
      </c>
      <c r="B36">
        <v>8100912</v>
      </c>
      <c r="C36">
        <v>0</v>
      </c>
      <c r="D36">
        <v>0</v>
      </c>
      <c r="E36">
        <v>46740</v>
      </c>
      <c r="H36">
        <f t="shared" ref="H36:H56" si="8">C36/$B36</f>
        <v>0</v>
      </c>
      <c r="I36">
        <f t="shared" ref="I36:I56" si="9">D36/$B36</f>
        <v>0</v>
      </c>
      <c r="J36">
        <f t="shared" ref="J36:J56" si="10">E36/$B36</f>
        <v>5.769720742553431E-3</v>
      </c>
      <c r="M36" s="1">
        <f t="shared" ref="M36:M56" si="11">H36-H$61</f>
        <v>0</v>
      </c>
      <c r="N36" s="1">
        <f t="shared" ref="N36:N56" si="12">I36-I$61</f>
        <v>0</v>
      </c>
      <c r="O36" s="1">
        <f t="shared" ref="O36:O56" si="13">J36-J$61</f>
        <v>5.769720742553431E-3</v>
      </c>
      <c r="Q36">
        <f t="shared" ref="Q36:Q56" si="14">SUM(M36:O36)</f>
        <v>5.769720742553431E-3</v>
      </c>
      <c r="R36" s="1">
        <f t="shared" si="7"/>
        <v>4.9004777074647315E-2</v>
      </c>
    </row>
    <row r="37" spans="1:18" x14ac:dyDescent="0.25">
      <c r="A37" s="2" t="s">
        <v>66</v>
      </c>
      <c r="B37">
        <v>7894845</v>
      </c>
      <c r="C37">
        <v>0</v>
      </c>
      <c r="D37">
        <v>19262</v>
      </c>
      <c r="E37">
        <v>714320</v>
      </c>
      <c r="H37">
        <f t="shared" si="8"/>
        <v>0</v>
      </c>
      <c r="I37">
        <f t="shared" si="9"/>
        <v>2.4398199078005966E-3</v>
      </c>
      <c r="J37">
        <f t="shared" si="10"/>
        <v>9.0479293767008723E-2</v>
      </c>
      <c r="M37" s="1">
        <f t="shared" si="11"/>
        <v>0</v>
      </c>
      <c r="N37" s="1">
        <f t="shared" si="12"/>
        <v>2.4398199078005966E-3</v>
      </c>
      <c r="O37" s="1">
        <f t="shared" si="13"/>
        <v>9.0479293767008723E-2</v>
      </c>
      <c r="Q37">
        <f t="shared" si="14"/>
        <v>9.2919113674809317E-2</v>
      </c>
      <c r="R37" s="1">
        <f t="shared" si="7"/>
        <v>0.78920291896010697</v>
      </c>
    </row>
    <row r="38" spans="1:18" x14ac:dyDescent="0.25">
      <c r="A38" s="2" t="s">
        <v>67</v>
      </c>
      <c r="B38">
        <v>7894715</v>
      </c>
      <c r="C38">
        <v>0</v>
      </c>
      <c r="D38">
        <v>0</v>
      </c>
      <c r="E38">
        <v>131226</v>
      </c>
      <c r="H38">
        <f t="shared" si="8"/>
        <v>0</v>
      </c>
      <c r="I38">
        <f t="shared" si="9"/>
        <v>0</v>
      </c>
      <c r="J38">
        <f t="shared" si="10"/>
        <v>1.6622005987549898E-2</v>
      </c>
      <c r="M38" s="1">
        <f t="shared" si="11"/>
        <v>0</v>
      </c>
      <c r="N38" s="1">
        <f t="shared" si="12"/>
        <v>0</v>
      </c>
      <c r="O38" s="1">
        <f t="shared" si="13"/>
        <v>1.6622005987549898E-2</v>
      </c>
      <c r="Q38">
        <f t="shared" si="14"/>
        <v>1.6622005987549898E-2</v>
      </c>
      <c r="R38" s="1">
        <f t="shared" si="7"/>
        <v>0.14117801091233531</v>
      </c>
    </row>
    <row r="39" spans="1:18" x14ac:dyDescent="0.25">
      <c r="A39" s="2" t="s">
        <v>68</v>
      </c>
      <c r="B39">
        <v>7834688</v>
      </c>
      <c r="C39">
        <v>0</v>
      </c>
      <c r="D39">
        <v>0</v>
      </c>
      <c r="E39">
        <v>23846</v>
      </c>
      <c r="H39">
        <f t="shared" si="8"/>
        <v>0</v>
      </c>
      <c r="I39">
        <f t="shared" si="9"/>
        <v>0</v>
      </c>
      <c r="J39">
        <f t="shared" si="10"/>
        <v>3.0436438566538962E-3</v>
      </c>
      <c r="M39" s="1">
        <f t="shared" si="11"/>
        <v>0</v>
      </c>
      <c r="N39" s="1">
        <f t="shared" si="12"/>
        <v>0</v>
      </c>
      <c r="O39" s="1">
        <f t="shared" si="13"/>
        <v>3.0436438566538962E-3</v>
      </c>
      <c r="Q39">
        <f t="shared" si="14"/>
        <v>3.0436438566538962E-3</v>
      </c>
      <c r="R39" s="1">
        <f t="shared" si="7"/>
        <v>2.5851006546971152E-2</v>
      </c>
    </row>
    <row r="40" spans="1:18" x14ac:dyDescent="0.25">
      <c r="A40" s="2" t="s">
        <v>69</v>
      </c>
      <c r="B40">
        <v>7822880</v>
      </c>
      <c r="C40">
        <v>0</v>
      </c>
      <c r="D40">
        <v>0</v>
      </c>
      <c r="E40">
        <v>19041</v>
      </c>
      <c r="H40">
        <f t="shared" si="8"/>
        <v>0</v>
      </c>
      <c r="I40">
        <f t="shared" si="9"/>
        <v>0</v>
      </c>
      <c r="J40">
        <f t="shared" si="10"/>
        <v>2.4340140715439838E-3</v>
      </c>
      <c r="M40" s="1">
        <f t="shared" si="11"/>
        <v>0</v>
      </c>
      <c r="N40" s="1">
        <f t="shared" si="12"/>
        <v>0</v>
      </c>
      <c r="O40" s="1">
        <f t="shared" si="13"/>
        <v>2.4340140715439838E-3</v>
      </c>
      <c r="Q40">
        <f t="shared" si="14"/>
        <v>2.4340140715439838E-3</v>
      </c>
      <c r="R40" s="1">
        <f t="shared" si="7"/>
        <v>2.0673152531084218E-2</v>
      </c>
    </row>
    <row r="41" spans="1:18" x14ac:dyDescent="0.25">
      <c r="A41" s="2" t="s">
        <v>70</v>
      </c>
      <c r="B41">
        <v>7383641</v>
      </c>
      <c r="C41">
        <v>0</v>
      </c>
      <c r="D41">
        <v>26764</v>
      </c>
      <c r="E41">
        <v>311822</v>
      </c>
      <c r="H41">
        <f t="shared" si="8"/>
        <v>0</v>
      </c>
      <c r="I41">
        <f t="shared" si="9"/>
        <v>3.6247699475096366E-3</v>
      </c>
      <c r="J41">
        <f t="shared" si="10"/>
        <v>4.2231468187578461E-2</v>
      </c>
      <c r="M41" s="1">
        <f t="shared" si="11"/>
        <v>0</v>
      </c>
      <c r="N41" s="1">
        <f t="shared" si="12"/>
        <v>3.6247699475096366E-3</v>
      </c>
      <c r="O41" s="1">
        <f t="shared" si="13"/>
        <v>4.2231468187578461E-2</v>
      </c>
      <c r="Q41">
        <f t="shared" si="14"/>
        <v>4.5856238135088101E-2</v>
      </c>
      <c r="R41" s="1">
        <f t="shared" si="7"/>
        <v>0.38947720826735022</v>
      </c>
    </row>
    <row r="42" spans="1:18" x14ac:dyDescent="0.25">
      <c r="A42" s="2" t="s">
        <v>71</v>
      </c>
      <c r="B42">
        <v>7765773</v>
      </c>
      <c r="C42">
        <v>0</v>
      </c>
      <c r="D42">
        <v>0</v>
      </c>
      <c r="E42">
        <v>20478</v>
      </c>
      <c r="H42">
        <f t="shared" si="8"/>
        <v>0</v>
      </c>
      <c r="I42">
        <f t="shared" si="9"/>
        <v>0</v>
      </c>
      <c r="J42">
        <f t="shared" si="10"/>
        <v>2.6369557801908449E-3</v>
      </c>
      <c r="M42" s="1">
        <f t="shared" si="11"/>
        <v>0</v>
      </c>
      <c r="N42" s="1">
        <f t="shared" si="12"/>
        <v>0</v>
      </c>
      <c r="O42" s="1">
        <f t="shared" si="13"/>
        <v>2.6369557801908449E-3</v>
      </c>
      <c r="Q42">
        <f t="shared" si="14"/>
        <v>2.6369557801908449E-3</v>
      </c>
      <c r="R42" s="1">
        <f t="shared" si="7"/>
        <v>2.2396825761582057E-2</v>
      </c>
    </row>
    <row r="43" spans="1:18" x14ac:dyDescent="0.25">
      <c r="A43" s="2" t="s">
        <v>72</v>
      </c>
      <c r="B43">
        <v>7675501</v>
      </c>
      <c r="C43">
        <v>0</v>
      </c>
      <c r="D43">
        <v>0</v>
      </c>
      <c r="E43">
        <v>0</v>
      </c>
      <c r="H43">
        <f t="shared" si="8"/>
        <v>0</v>
      </c>
      <c r="I43">
        <f t="shared" si="9"/>
        <v>0</v>
      </c>
      <c r="J43">
        <f t="shared" si="10"/>
        <v>0</v>
      </c>
      <c r="M43" s="1">
        <f t="shared" si="11"/>
        <v>0</v>
      </c>
      <c r="N43" s="1">
        <f t="shared" si="12"/>
        <v>0</v>
      </c>
      <c r="O43" s="1">
        <f t="shared" si="13"/>
        <v>0</v>
      </c>
      <c r="Q43">
        <f t="shared" si="14"/>
        <v>0</v>
      </c>
      <c r="R43" s="1">
        <f t="shared" si="7"/>
        <v>0</v>
      </c>
    </row>
    <row r="44" spans="1:18" x14ac:dyDescent="0.25">
      <c r="A44" s="2" t="s">
        <v>73</v>
      </c>
      <c r="B44">
        <v>7799756</v>
      </c>
      <c r="C44">
        <v>0</v>
      </c>
      <c r="D44">
        <v>45064</v>
      </c>
      <c r="E44">
        <v>252555</v>
      </c>
      <c r="H44">
        <f t="shared" si="8"/>
        <v>0</v>
      </c>
      <c r="I44">
        <f t="shared" si="9"/>
        <v>5.7776166331357029E-3</v>
      </c>
      <c r="J44">
        <f t="shared" si="10"/>
        <v>3.2379859062257842E-2</v>
      </c>
      <c r="M44" s="1">
        <f t="shared" si="11"/>
        <v>0</v>
      </c>
      <c r="N44" s="1">
        <f t="shared" si="12"/>
        <v>5.7776166331357029E-3</v>
      </c>
      <c r="O44" s="1">
        <f t="shared" si="13"/>
        <v>3.2379859062257842E-2</v>
      </c>
      <c r="Q44">
        <f t="shared" si="14"/>
        <v>3.8157475695393545E-2</v>
      </c>
      <c r="R44" s="1">
        <f t="shared" si="7"/>
        <v>0.32408823123673342</v>
      </c>
    </row>
    <row r="45" spans="1:18" x14ac:dyDescent="0.25">
      <c r="A45" s="2" t="s">
        <v>74</v>
      </c>
      <c r="B45">
        <v>7766698</v>
      </c>
      <c r="C45">
        <v>0</v>
      </c>
      <c r="D45">
        <v>39007</v>
      </c>
      <c r="E45">
        <v>115467</v>
      </c>
      <c r="H45">
        <f t="shared" si="8"/>
        <v>0</v>
      </c>
      <c r="I45">
        <f t="shared" si="9"/>
        <v>5.0223402532195791E-3</v>
      </c>
      <c r="J45">
        <f t="shared" si="10"/>
        <v>1.4866935729958859E-2</v>
      </c>
      <c r="M45" s="1">
        <f t="shared" si="11"/>
        <v>0</v>
      </c>
      <c r="N45" s="1">
        <f t="shared" si="12"/>
        <v>5.0223402532195791E-3</v>
      </c>
      <c r="O45" s="1">
        <f t="shared" si="13"/>
        <v>1.4866935729958859E-2</v>
      </c>
      <c r="Q45">
        <f t="shared" si="14"/>
        <v>1.9889275983178439E-2</v>
      </c>
      <c r="R45" s="1">
        <f t="shared" si="7"/>
        <v>0.16892837265819718</v>
      </c>
    </row>
    <row r="46" spans="1:18" x14ac:dyDescent="0.25">
      <c r="A46" s="2" t="s">
        <v>75</v>
      </c>
      <c r="B46">
        <v>8048344</v>
      </c>
      <c r="C46">
        <v>0</v>
      </c>
      <c r="D46">
        <v>245729</v>
      </c>
      <c r="E46">
        <v>422095</v>
      </c>
      <c r="H46">
        <f t="shared" si="8"/>
        <v>0</v>
      </c>
      <c r="I46">
        <f t="shared" si="9"/>
        <v>3.0531622405801741E-2</v>
      </c>
      <c r="J46">
        <f t="shared" si="10"/>
        <v>5.2444950166145983E-2</v>
      </c>
      <c r="M46" s="1">
        <f t="shared" si="11"/>
        <v>0</v>
      </c>
      <c r="N46" s="1">
        <f t="shared" si="12"/>
        <v>3.0531622405801741E-2</v>
      </c>
      <c r="O46" s="1">
        <f t="shared" si="13"/>
        <v>5.2444950166145983E-2</v>
      </c>
      <c r="Q46">
        <f t="shared" si="14"/>
        <v>8.2976572571947724E-2</v>
      </c>
      <c r="R46" s="1">
        <f t="shared" si="7"/>
        <v>0.70475654242965069</v>
      </c>
    </row>
    <row r="47" spans="1:18" x14ac:dyDescent="0.25">
      <c r="A47" s="2" t="s">
        <v>76</v>
      </c>
      <c r="B47">
        <v>7491630</v>
      </c>
      <c r="C47">
        <v>0</v>
      </c>
      <c r="D47">
        <v>0</v>
      </c>
      <c r="E47">
        <v>79334</v>
      </c>
      <c r="H47">
        <f t="shared" si="8"/>
        <v>0</v>
      </c>
      <c r="I47">
        <f t="shared" si="9"/>
        <v>0</v>
      </c>
      <c r="J47">
        <f t="shared" si="10"/>
        <v>1.0589684754853083E-2</v>
      </c>
      <c r="M47" s="1">
        <f t="shared" si="11"/>
        <v>0</v>
      </c>
      <c r="N47" s="1">
        <f t="shared" si="12"/>
        <v>0</v>
      </c>
      <c r="O47" s="1">
        <f t="shared" si="13"/>
        <v>1.0589684754853083E-2</v>
      </c>
      <c r="Q47">
        <f t="shared" si="14"/>
        <v>1.0589684754853083E-2</v>
      </c>
      <c r="R47" s="1">
        <f t="shared" si="7"/>
        <v>8.9942852324721642E-2</v>
      </c>
    </row>
    <row r="48" spans="1:18" x14ac:dyDescent="0.25">
      <c r="A48" s="2" t="s">
        <v>77</v>
      </c>
      <c r="B48">
        <v>7747061</v>
      </c>
      <c r="C48">
        <v>0</v>
      </c>
      <c r="D48">
        <v>310605</v>
      </c>
      <c r="E48">
        <v>1839108</v>
      </c>
      <c r="H48">
        <f t="shared" si="8"/>
        <v>0</v>
      </c>
      <c r="I48">
        <f t="shared" si="9"/>
        <v>4.0093268918367883E-2</v>
      </c>
      <c r="J48">
        <f t="shared" si="10"/>
        <v>0.23739428410335223</v>
      </c>
      <c r="M48" s="1">
        <f t="shared" si="11"/>
        <v>0</v>
      </c>
      <c r="N48" s="1">
        <f t="shared" si="12"/>
        <v>4.0093268918367883E-2</v>
      </c>
      <c r="O48" s="1">
        <f t="shared" si="13"/>
        <v>0.23739428410335223</v>
      </c>
      <c r="Q48">
        <f t="shared" si="14"/>
        <v>0.27748755302172012</v>
      </c>
      <c r="R48" s="1">
        <f t="shared" si="7"/>
        <v>2.3568238886377686</v>
      </c>
    </row>
    <row r="49" spans="1:18" x14ac:dyDescent="0.25">
      <c r="A49" s="2" t="s">
        <v>78</v>
      </c>
      <c r="B49">
        <v>8100694</v>
      </c>
      <c r="C49">
        <v>0</v>
      </c>
      <c r="D49">
        <v>17665</v>
      </c>
      <c r="E49">
        <v>347597</v>
      </c>
      <c r="H49">
        <f t="shared" si="8"/>
        <v>0</v>
      </c>
      <c r="I49">
        <f t="shared" si="9"/>
        <v>2.1806773592484793E-3</v>
      </c>
      <c r="J49">
        <f t="shared" si="10"/>
        <v>4.2909533430098706E-2</v>
      </c>
      <c r="M49" s="1">
        <f t="shared" si="11"/>
        <v>0</v>
      </c>
      <c r="N49" s="1">
        <f t="shared" si="12"/>
        <v>2.1806773592484793E-3</v>
      </c>
      <c r="O49" s="1">
        <f t="shared" si="13"/>
        <v>4.2909533430098706E-2</v>
      </c>
      <c r="Q49">
        <f t="shared" si="14"/>
        <v>4.5090210789347183E-2</v>
      </c>
      <c r="R49" s="1">
        <f t="shared" si="7"/>
        <v>0.38297100095054615</v>
      </c>
    </row>
    <row r="50" spans="1:18" x14ac:dyDescent="0.25">
      <c r="A50" s="2" t="s">
        <v>79</v>
      </c>
      <c r="B50">
        <v>7064164</v>
      </c>
      <c r="C50">
        <v>0</v>
      </c>
      <c r="D50">
        <v>0</v>
      </c>
      <c r="E50">
        <v>29297</v>
      </c>
      <c r="H50">
        <f t="shared" si="8"/>
        <v>0</v>
      </c>
      <c r="I50">
        <f t="shared" si="9"/>
        <v>0</v>
      </c>
      <c r="J50">
        <f t="shared" si="10"/>
        <v>4.1472706466044677E-3</v>
      </c>
      <c r="M50" s="1">
        <f t="shared" si="11"/>
        <v>0</v>
      </c>
      <c r="N50" s="1">
        <f t="shared" si="12"/>
        <v>0</v>
      </c>
      <c r="O50" s="1">
        <f t="shared" si="13"/>
        <v>4.1472706466044677E-3</v>
      </c>
      <c r="Q50">
        <f t="shared" si="14"/>
        <v>4.1472706466044677E-3</v>
      </c>
      <c r="R50" s="1">
        <f t="shared" si="7"/>
        <v>3.5224594494869227E-2</v>
      </c>
    </row>
    <row r="51" spans="1:18" x14ac:dyDescent="0.25">
      <c r="A51" s="2" t="s">
        <v>80</v>
      </c>
      <c r="B51">
        <v>7637704</v>
      </c>
      <c r="C51">
        <v>0</v>
      </c>
      <c r="D51">
        <v>0</v>
      </c>
      <c r="E51">
        <v>26912</v>
      </c>
      <c r="H51">
        <f t="shared" si="8"/>
        <v>0</v>
      </c>
      <c r="I51">
        <f t="shared" si="9"/>
        <v>0</v>
      </c>
      <c r="J51">
        <f t="shared" si="10"/>
        <v>3.5235720054089554E-3</v>
      </c>
      <c r="M51" s="1">
        <f t="shared" si="11"/>
        <v>0</v>
      </c>
      <c r="N51" s="1">
        <f t="shared" si="12"/>
        <v>0</v>
      </c>
      <c r="O51" s="1">
        <f t="shared" si="13"/>
        <v>3.5235720054089554E-3</v>
      </c>
      <c r="Q51">
        <f t="shared" si="14"/>
        <v>3.5235720054089554E-3</v>
      </c>
      <c r="R51" s="1">
        <f t="shared" si="7"/>
        <v>2.9927247493631154E-2</v>
      </c>
    </row>
    <row r="52" spans="1:18" x14ac:dyDescent="0.25">
      <c r="A52" s="2" t="s">
        <v>81</v>
      </c>
      <c r="B52">
        <v>8015929</v>
      </c>
      <c r="C52">
        <v>0</v>
      </c>
      <c r="D52">
        <v>0</v>
      </c>
      <c r="E52">
        <v>0</v>
      </c>
      <c r="H52">
        <f t="shared" si="8"/>
        <v>0</v>
      </c>
      <c r="I52">
        <f t="shared" si="9"/>
        <v>0</v>
      </c>
      <c r="J52">
        <f t="shared" si="10"/>
        <v>0</v>
      </c>
      <c r="M52" s="1">
        <f t="shared" si="11"/>
        <v>0</v>
      </c>
      <c r="N52" s="1">
        <f t="shared" si="12"/>
        <v>0</v>
      </c>
      <c r="O52" s="1">
        <f t="shared" si="13"/>
        <v>0</v>
      </c>
      <c r="Q52">
        <f t="shared" si="14"/>
        <v>0</v>
      </c>
      <c r="R52" s="1">
        <f t="shared" si="7"/>
        <v>0</v>
      </c>
    </row>
    <row r="53" spans="1:18" x14ac:dyDescent="0.25">
      <c r="A53" s="2" t="s">
        <v>82</v>
      </c>
      <c r="B53">
        <v>8030114</v>
      </c>
      <c r="C53">
        <v>0</v>
      </c>
      <c r="D53">
        <v>0</v>
      </c>
      <c r="E53">
        <v>512515</v>
      </c>
      <c r="H53">
        <f t="shared" si="8"/>
        <v>0</v>
      </c>
      <c r="I53">
        <f t="shared" si="9"/>
        <v>0</v>
      </c>
      <c r="J53">
        <f t="shared" si="10"/>
        <v>6.3824125037328233E-2</v>
      </c>
      <c r="M53" s="1">
        <f t="shared" si="11"/>
        <v>0</v>
      </c>
      <c r="N53" s="1">
        <f t="shared" si="12"/>
        <v>0</v>
      </c>
      <c r="O53" s="1">
        <f t="shared" si="13"/>
        <v>6.3824125037328233E-2</v>
      </c>
      <c r="Q53">
        <f t="shared" si="14"/>
        <v>6.3824125037328233E-2</v>
      </c>
      <c r="R53" s="1">
        <f t="shared" si="7"/>
        <v>0.54208637800631332</v>
      </c>
    </row>
    <row r="54" spans="1:18" x14ac:dyDescent="0.25">
      <c r="A54" s="2" t="s">
        <v>26</v>
      </c>
      <c r="B54">
        <v>6427739</v>
      </c>
      <c r="C54">
        <v>0</v>
      </c>
      <c r="D54">
        <v>112755</v>
      </c>
      <c r="E54">
        <v>719604</v>
      </c>
      <c r="H54">
        <f t="shared" si="8"/>
        <v>0</v>
      </c>
      <c r="I54">
        <f t="shared" si="9"/>
        <v>1.7541938152747023E-2</v>
      </c>
      <c r="J54">
        <f t="shared" si="10"/>
        <v>0.1119528966561959</v>
      </c>
      <c r="M54" s="1">
        <f t="shared" si="11"/>
        <v>0</v>
      </c>
      <c r="N54" s="1">
        <f t="shared" si="12"/>
        <v>1.7541938152747023E-2</v>
      </c>
      <c r="O54" s="1">
        <f t="shared" si="13"/>
        <v>0.1119528966561959</v>
      </c>
      <c r="Q54">
        <f t="shared" si="14"/>
        <v>0.12949483480894292</v>
      </c>
      <c r="R54" s="1">
        <f t="shared" si="7"/>
        <v>1.0998566127001355</v>
      </c>
    </row>
    <row r="55" spans="1:18" x14ac:dyDescent="0.25">
      <c r="A55" s="2" t="s">
        <v>26</v>
      </c>
      <c r="B55">
        <v>6697670</v>
      </c>
      <c r="C55">
        <v>0</v>
      </c>
      <c r="D55">
        <v>110360</v>
      </c>
      <c r="E55">
        <v>691976</v>
      </c>
      <c r="H55">
        <f t="shared" si="8"/>
        <v>0</v>
      </c>
      <c r="I55">
        <f t="shared" si="9"/>
        <v>1.647737198159957E-2</v>
      </c>
      <c r="J55">
        <f t="shared" si="10"/>
        <v>0.10331592927092556</v>
      </c>
      <c r="M55" s="1">
        <f t="shared" si="11"/>
        <v>0</v>
      </c>
      <c r="N55" s="1">
        <f t="shared" si="12"/>
        <v>1.647737198159957E-2</v>
      </c>
      <c r="O55" s="1">
        <f t="shared" si="13"/>
        <v>0.10331592927092556</v>
      </c>
      <c r="Q55">
        <f t="shared" si="14"/>
        <v>0.11979330125252513</v>
      </c>
      <c r="R55" s="1">
        <f t="shared" si="7"/>
        <v>1.0174572193104194</v>
      </c>
    </row>
    <row r="56" spans="1:18" x14ac:dyDescent="0.25">
      <c r="A56" s="2" t="s">
        <v>26</v>
      </c>
      <c r="B56">
        <v>7844695</v>
      </c>
      <c r="C56">
        <v>0</v>
      </c>
      <c r="D56">
        <v>114887</v>
      </c>
      <c r="E56">
        <v>775903</v>
      </c>
      <c r="H56">
        <f t="shared" si="8"/>
        <v>0</v>
      </c>
      <c r="I56">
        <f t="shared" si="9"/>
        <v>1.4645183783435812E-2</v>
      </c>
      <c r="J56">
        <f t="shared" si="10"/>
        <v>9.8907988137206096E-2</v>
      </c>
      <c r="M56" s="1">
        <f t="shared" si="11"/>
        <v>0</v>
      </c>
      <c r="N56" s="1">
        <f t="shared" si="12"/>
        <v>1.4645183783435812E-2</v>
      </c>
      <c r="O56" s="1">
        <f t="shared" si="13"/>
        <v>9.8907988137206096E-2</v>
      </c>
      <c r="Q56">
        <f t="shared" si="14"/>
        <v>0.1135531719206419</v>
      </c>
      <c r="R56" s="1">
        <f t="shared" si="7"/>
        <v>0.96445705509613333</v>
      </c>
    </row>
    <row r="57" spans="1:18" x14ac:dyDescent="0.25">
      <c r="A57" s="2" t="s">
        <v>26</v>
      </c>
      <c r="B57">
        <v>7875971</v>
      </c>
      <c r="C57">
        <v>0</v>
      </c>
      <c r="D57">
        <v>118625</v>
      </c>
      <c r="E57">
        <v>752167</v>
      </c>
      <c r="H57">
        <f>C57/$B57</f>
        <v>0</v>
      </c>
      <c r="M57" s="1">
        <f>H57-H$61</f>
        <v>0</v>
      </c>
      <c r="R57" s="1"/>
    </row>
    <row r="58" spans="1:18" x14ac:dyDescent="0.25">
      <c r="A58" s="2" t="s">
        <v>27</v>
      </c>
      <c r="B58">
        <v>7854663</v>
      </c>
      <c r="C58">
        <v>0</v>
      </c>
      <c r="D58">
        <v>0</v>
      </c>
      <c r="E58">
        <v>0</v>
      </c>
      <c r="H58">
        <f>C58/$B58</f>
        <v>0</v>
      </c>
      <c r="I58">
        <f t="shared" ref="I58:J61" si="15">D58/$B58</f>
        <v>0</v>
      </c>
      <c r="J58">
        <f t="shared" si="15"/>
        <v>0</v>
      </c>
      <c r="M58" s="1">
        <f>H58-H$61</f>
        <v>0</v>
      </c>
      <c r="N58" s="1">
        <f t="shared" ref="N58:O61" si="16">I58-I$61</f>
        <v>0</v>
      </c>
      <c r="O58" s="1">
        <f t="shared" si="16"/>
        <v>0</v>
      </c>
      <c r="Q58">
        <f>SUM(M58:O58)</f>
        <v>0</v>
      </c>
      <c r="R58" s="1">
        <f t="shared" si="7"/>
        <v>0</v>
      </c>
    </row>
    <row r="59" spans="1:18" x14ac:dyDescent="0.25">
      <c r="A59" s="2" t="s">
        <v>27</v>
      </c>
      <c r="B59">
        <v>7727523</v>
      </c>
      <c r="C59">
        <v>0</v>
      </c>
      <c r="D59">
        <v>0</v>
      </c>
      <c r="E59">
        <v>0</v>
      </c>
      <c r="H59">
        <f>C59/$B59</f>
        <v>0</v>
      </c>
      <c r="I59">
        <f t="shared" si="15"/>
        <v>0</v>
      </c>
      <c r="J59">
        <f t="shared" si="15"/>
        <v>0</v>
      </c>
      <c r="M59" s="1">
        <f>H59-H$61</f>
        <v>0</v>
      </c>
      <c r="N59" s="1">
        <f t="shared" si="16"/>
        <v>0</v>
      </c>
      <c r="O59" s="1">
        <f t="shared" si="16"/>
        <v>0</v>
      </c>
      <c r="Q59">
        <f>SUM(M59:O59)</f>
        <v>0</v>
      </c>
      <c r="R59" s="1">
        <f t="shared" si="7"/>
        <v>0</v>
      </c>
    </row>
    <row r="60" spans="1:18" x14ac:dyDescent="0.25">
      <c r="A60" t="s">
        <v>28</v>
      </c>
      <c r="B60">
        <f>AVERAGE(B54:B57)</f>
        <v>7211518.75</v>
      </c>
      <c r="C60">
        <f>AVERAGE(C54:C57)</f>
        <v>0</v>
      </c>
      <c r="D60">
        <f>AVERAGE(D54:D57)</f>
        <v>114156.75</v>
      </c>
      <c r="E60">
        <f>AVERAGE(E54:E57)</f>
        <v>734912.5</v>
      </c>
      <c r="H60">
        <f>C60/$B60</f>
        <v>0</v>
      </c>
      <c r="I60">
        <f t="shared" si="15"/>
        <v>1.5829779268063334E-2</v>
      </c>
      <c r="J60">
        <f t="shared" si="15"/>
        <v>0.10190814521559692</v>
      </c>
      <c r="M60" s="1">
        <f>H60-H$61</f>
        <v>0</v>
      </c>
      <c r="N60" s="1">
        <f t="shared" si="16"/>
        <v>1.5829779268063334E-2</v>
      </c>
      <c r="O60" s="1">
        <f t="shared" si="16"/>
        <v>0.10190814521559692</v>
      </c>
      <c r="Q60" s="1">
        <f>SUM(M60:O60)</f>
        <v>0.11773792448366026</v>
      </c>
      <c r="R60" s="1">
        <f>Q60/$Q$60</f>
        <v>1</v>
      </c>
    </row>
    <row r="61" spans="1:18" x14ac:dyDescent="0.25">
      <c r="A61" t="s">
        <v>29</v>
      </c>
      <c r="B61">
        <f>AVERAGE(B58:B59)</f>
        <v>7791093</v>
      </c>
      <c r="C61">
        <f>AVERAGE(C58:C59)</f>
        <v>0</v>
      </c>
      <c r="D61">
        <f>AVERAGE(D58:D59)</f>
        <v>0</v>
      </c>
      <c r="E61">
        <f>AVERAGE(E58:E59)</f>
        <v>0</v>
      </c>
      <c r="H61">
        <f>C61/$B61</f>
        <v>0</v>
      </c>
      <c r="I61">
        <f t="shared" si="15"/>
        <v>0</v>
      </c>
      <c r="J61">
        <f t="shared" si="15"/>
        <v>0</v>
      </c>
      <c r="M61" s="1">
        <f>H61-H$61</f>
        <v>0</v>
      </c>
      <c r="N61" s="1">
        <f t="shared" si="16"/>
        <v>0</v>
      </c>
      <c r="O61" s="1">
        <f t="shared" si="16"/>
        <v>0</v>
      </c>
      <c r="Q61">
        <f>SUM(M61:O61)</f>
        <v>0</v>
      </c>
      <c r="R61" s="1">
        <f t="shared" si="7"/>
        <v>0</v>
      </c>
    </row>
    <row r="64" spans="1:18" x14ac:dyDescent="0.25">
      <c r="A64" t="s">
        <v>89</v>
      </c>
    </row>
  </sheetData>
  <mergeCells count="3">
    <mergeCell ref="B1:E1"/>
    <mergeCell ref="H1:J1"/>
    <mergeCell ref="M1:O1"/>
  </mergeCells>
  <phoneticPr fontId="1" type="noConversion"/>
  <conditionalFormatting sqref="R4:R61">
    <cfRule type="colorScale" priority="1">
      <colorScale>
        <cfvo type="min"/>
        <cfvo type="max"/>
        <color theme="0"/>
        <color theme="1" tint="0.499984740745262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5EFC-64AB-48B8-BE8E-4A129C6B9866}">
  <dimension ref="A1:B30"/>
  <sheetViews>
    <sheetView workbookViewId="0">
      <selection activeCell="A32" sqref="A32"/>
    </sheetView>
  </sheetViews>
  <sheetFormatPr defaultRowHeight="15" x14ac:dyDescent="0.25"/>
  <cols>
    <col min="1" max="1" width="10.7109375" bestFit="1" customWidth="1"/>
  </cols>
  <sheetData>
    <row r="1" spans="1:2" x14ac:dyDescent="0.25">
      <c r="B1" t="s">
        <v>30</v>
      </c>
    </row>
    <row r="3" spans="1:2" x14ac:dyDescent="0.25">
      <c r="A3" t="s">
        <v>0</v>
      </c>
      <c r="B3">
        <v>1.25202461872874</v>
      </c>
    </row>
    <row r="4" spans="1:2" x14ac:dyDescent="0.25">
      <c r="A4" t="s">
        <v>1</v>
      </c>
      <c r="B4">
        <v>1.9805661823566649</v>
      </c>
    </row>
    <row r="5" spans="1:2" x14ac:dyDescent="0.25">
      <c r="A5" t="s">
        <v>2</v>
      </c>
      <c r="B5">
        <v>1.2339865088415902</v>
      </c>
    </row>
    <row r="6" spans="1:2" x14ac:dyDescent="0.25">
      <c r="A6" t="s">
        <v>3</v>
      </c>
      <c r="B6">
        <v>1.4028829279316011</v>
      </c>
    </row>
    <row r="7" spans="1:2" x14ac:dyDescent="0.25">
      <c r="A7" t="s">
        <v>4</v>
      </c>
      <c r="B7">
        <v>2.2312203856718535</v>
      </c>
    </row>
    <row r="8" spans="1:2" x14ac:dyDescent="0.25">
      <c r="A8" t="s">
        <v>5</v>
      </c>
      <c r="B8">
        <v>1.3399888640431621</v>
      </c>
    </row>
    <row r="9" spans="1:2" x14ac:dyDescent="0.25">
      <c r="A9" t="s">
        <v>6</v>
      </c>
      <c r="B9">
        <v>1.6945777486375317</v>
      </c>
    </row>
    <row r="10" spans="1:2" x14ac:dyDescent="0.25">
      <c r="A10" t="s">
        <v>7</v>
      </c>
      <c r="B10">
        <v>10.781393534587655</v>
      </c>
    </row>
    <row r="11" spans="1:2" x14ac:dyDescent="0.25">
      <c r="A11" t="s">
        <v>8</v>
      </c>
      <c r="B11">
        <v>1.4240963139299159</v>
      </c>
    </row>
    <row r="12" spans="1:2" x14ac:dyDescent="0.25">
      <c r="A12" t="s">
        <v>9</v>
      </c>
      <c r="B12">
        <v>1.3755290560317643</v>
      </c>
    </row>
    <row r="13" spans="1:2" x14ac:dyDescent="0.25">
      <c r="A13" t="s">
        <v>10</v>
      </c>
      <c r="B13">
        <v>1.0397470128373889</v>
      </c>
    </row>
    <row r="14" spans="1:2" x14ac:dyDescent="0.25">
      <c r="A14" t="s">
        <v>11</v>
      </c>
      <c r="B14">
        <v>5.3832287425999832</v>
      </c>
    </row>
    <row r="15" spans="1:2" x14ac:dyDescent="0.25">
      <c r="A15" t="s">
        <v>12</v>
      </c>
      <c r="B15">
        <v>2.4925217106672233</v>
      </c>
    </row>
    <row r="16" spans="1:2" x14ac:dyDescent="0.25">
      <c r="A16" t="s">
        <v>13</v>
      </c>
      <c r="B16">
        <v>4.5146886676264613</v>
      </c>
    </row>
    <row r="17" spans="1:2" x14ac:dyDescent="0.25">
      <c r="A17" t="s">
        <v>14</v>
      </c>
      <c r="B17">
        <v>1.4612258485543468</v>
      </c>
    </row>
    <row r="18" spans="1:2" x14ac:dyDescent="0.25">
      <c r="A18" t="s">
        <v>15</v>
      </c>
      <c r="B18">
        <v>1.7216513754110945</v>
      </c>
    </row>
    <row r="19" spans="1:2" x14ac:dyDescent="0.25">
      <c r="A19" t="s">
        <v>16</v>
      </c>
      <c r="B19">
        <v>2.229922330720683</v>
      </c>
    </row>
    <row r="20" spans="1:2" x14ac:dyDescent="0.25">
      <c r="A20" t="s">
        <v>17</v>
      </c>
      <c r="B20">
        <v>1.5154857368580461</v>
      </c>
    </row>
    <row r="21" spans="1:2" x14ac:dyDescent="0.25">
      <c r="A21" t="s">
        <v>18</v>
      </c>
      <c r="B21">
        <v>5.626612771643944</v>
      </c>
    </row>
    <row r="22" spans="1:2" x14ac:dyDescent="0.25">
      <c r="A22" t="s">
        <v>19</v>
      </c>
      <c r="B22">
        <v>4.9556860405596828</v>
      </c>
    </row>
    <row r="23" spans="1:2" x14ac:dyDescent="0.25">
      <c r="A23" t="s">
        <v>20</v>
      </c>
      <c r="B23">
        <v>4.1167863909872384</v>
      </c>
    </row>
    <row r="24" spans="1:2" x14ac:dyDescent="0.25">
      <c r="A24" t="s">
        <v>21</v>
      </c>
      <c r="B24">
        <v>1.5670236750086055</v>
      </c>
    </row>
    <row r="25" spans="1:2" x14ac:dyDescent="0.25">
      <c r="A25" t="s">
        <v>22</v>
      </c>
      <c r="B25">
        <v>2.4614604095355168</v>
      </c>
    </row>
    <row r="26" spans="1:2" x14ac:dyDescent="0.25">
      <c r="A26" t="s">
        <v>23</v>
      </c>
      <c r="B26">
        <v>1.6411019814000773</v>
      </c>
    </row>
    <row r="27" spans="1:2" x14ac:dyDescent="0.25">
      <c r="A27" t="s">
        <v>24</v>
      </c>
      <c r="B27">
        <v>5.4564918182329496</v>
      </c>
    </row>
    <row r="28" spans="1:2" x14ac:dyDescent="0.25">
      <c r="A28" t="s">
        <v>25</v>
      </c>
      <c r="B28">
        <v>2.5450870096872062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0</v>
      </c>
    </row>
  </sheetData>
  <conditionalFormatting sqref="B3:B30">
    <cfRule type="colorScale" priority="18">
      <colorScale>
        <cfvo type="min"/>
        <cfvo type="max"/>
        <color theme="0"/>
        <color theme="1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variants</vt:lpstr>
      <vt:lpstr>Best 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2023-09-12T07:56:18Z</dcterms:created>
  <dcterms:modified xsi:type="dcterms:W3CDTF">2024-08-30T15:46:23Z</dcterms:modified>
</cp:coreProperties>
</file>