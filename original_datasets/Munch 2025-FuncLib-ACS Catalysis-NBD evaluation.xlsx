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aper\Paper_3\Data for publication\"/>
    </mc:Choice>
  </mc:AlternateContent>
  <xr:revisionPtr revIDLastSave="0" documentId="13_ncr:1_{A0522D0C-4A5B-4798-B5DC-C5A323E18AAA}" xr6:coauthVersionLast="47" xr6:coauthVersionMax="47" xr10:uidLastSave="{00000000-0000-0000-0000-000000000000}"/>
  <bookViews>
    <workbookView xWindow="-120" yWindow="-120" windowWidth="38640" windowHeight="21240" xr2:uid="{597E8570-BEAC-4C49-9CA9-C016AFF01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B99" i="1"/>
  <c r="D5" i="1" s="1"/>
  <c r="D24" i="1"/>
  <c r="D28" i="1"/>
  <c r="D31" i="1"/>
  <c r="D33" i="1"/>
  <c r="D35" i="1"/>
  <c r="D37" i="1"/>
  <c r="D39" i="1"/>
  <c r="D41" i="1"/>
  <c r="D43" i="1"/>
  <c r="D45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  <c r="B100" i="1"/>
  <c r="B101" i="1" s="1"/>
  <c r="D46" i="1" l="1"/>
  <c r="D44" i="1"/>
  <c r="D42" i="1"/>
  <c r="D40" i="1"/>
  <c r="D38" i="1"/>
  <c r="D36" i="1"/>
  <c r="D34" i="1"/>
  <c r="D32" i="1"/>
  <c r="D30" i="1"/>
  <c r="D26" i="1"/>
  <c r="D20" i="1"/>
  <c r="D29" i="1"/>
  <c r="D27" i="1"/>
  <c r="D25" i="1"/>
  <c r="D22" i="1"/>
  <c r="D17" i="1"/>
  <c r="D10" i="1"/>
  <c r="D23" i="1"/>
  <c r="D21" i="1"/>
  <c r="D19" i="1"/>
  <c r="D14" i="1"/>
  <c r="D6" i="1"/>
  <c r="D18" i="1"/>
  <c r="D16" i="1"/>
  <c r="D12" i="1"/>
  <c r="D8" i="1"/>
  <c r="D4" i="1"/>
  <c r="D15" i="1"/>
  <c r="D13" i="1"/>
  <c r="D11" i="1"/>
  <c r="D9" i="1"/>
  <c r="D7" i="1"/>
</calcChain>
</file>

<file path=xl/sharedStrings.xml><?xml version="1.0" encoding="utf-8"?>
<sst xmlns="http://schemas.openxmlformats.org/spreadsheetml/2006/main" count="225" uniqueCount="162">
  <si>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</si>
  <si>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</si>
  <si>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</si>
  <si>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</si>
  <si>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</si>
  <si>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</si>
  <si>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</si>
  <si>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</si>
  <si>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</si>
  <si>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</si>
  <si>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</si>
  <si>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</si>
  <si>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</si>
  <si>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</si>
  <si>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</si>
  <si>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</si>
  <si>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</si>
  <si>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</si>
  <si>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</si>
  <si>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</si>
  <si>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</si>
  <si>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</si>
  <si>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</si>
  <si>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</si>
  <si>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</si>
  <si>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</si>
  <si>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</si>
  <si>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</si>
  <si>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</si>
  <si>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</si>
  <si>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</si>
  <si>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</si>
  <si>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</si>
  <si>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</si>
  <si>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</si>
  <si>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</si>
  <si>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</si>
  <si>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</si>
  <si>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</si>
  <si>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</si>
  <si>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</si>
  <si>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</si>
  <si>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</si>
  <si>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</si>
  <si>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</si>
  <si>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</si>
  <si>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</si>
  <si>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</si>
  <si>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</si>
  <si>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</si>
  <si>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</si>
  <si>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</si>
  <si>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</si>
  <si>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</si>
  <si>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</si>
  <si>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</si>
  <si>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</si>
  <si>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</si>
  <si>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</si>
  <si>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</si>
  <si>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</si>
  <si>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</si>
  <si>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</si>
  <si>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</si>
  <si>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</si>
  <si>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</si>
  <si>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</si>
  <si>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</si>
  <si>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</si>
  <si>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</si>
  <si>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</si>
  <si>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</si>
  <si>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</si>
  <si>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</si>
  <si>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</si>
  <si>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</si>
  <si>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</si>
  <si>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</si>
  <si>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</si>
  <si>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</si>
  <si>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</si>
  <si>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</si>
  <si>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</si>
  <si>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</si>
  <si>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</si>
  <si>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</si>
  <si>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</si>
  <si>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</si>
  <si>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</si>
  <si>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</si>
  <si>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</si>
  <si>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</si>
  <si>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</si>
  <si>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</si>
  <si>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</si>
  <si>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</si>
  <si>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wt</t>
  </si>
  <si>
    <t>LV</t>
  </si>
  <si>
    <t>empty</t>
  </si>
  <si>
    <t>Design 1</t>
  </si>
  <si>
    <t>Design 9</t>
  </si>
  <si>
    <t>Design 17</t>
  </si>
  <si>
    <t>Design 25</t>
  </si>
  <si>
    <t>Design 33</t>
  </si>
  <si>
    <t xml:space="preserve">Design 41 </t>
  </si>
  <si>
    <t>Design 48</t>
  </si>
  <si>
    <t>Design 2</t>
  </si>
  <si>
    <t>Design 10</t>
  </si>
  <si>
    <t>Design 18</t>
  </si>
  <si>
    <t>Design 26</t>
  </si>
  <si>
    <t>Design 34</t>
  </si>
  <si>
    <t>Design 42</t>
  </si>
  <si>
    <t>Design 50</t>
  </si>
  <si>
    <t>Design 3</t>
  </si>
  <si>
    <t>Design 11</t>
  </si>
  <si>
    <t>Design 19</t>
  </si>
  <si>
    <t>Design 27</t>
  </si>
  <si>
    <t>Design 35</t>
  </si>
  <si>
    <t>Design 43</t>
  </si>
  <si>
    <t>Design 4</t>
  </si>
  <si>
    <t>Design 12</t>
  </si>
  <si>
    <t>Design 20</t>
  </si>
  <si>
    <t>Design 28</t>
  </si>
  <si>
    <t>Design 36</t>
  </si>
  <si>
    <t>Design 44</t>
  </si>
  <si>
    <t>Design 5</t>
  </si>
  <si>
    <t>Design 13</t>
  </si>
  <si>
    <t>Design 21</t>
  </si>
  <si>
    <t>Design 29</t>
  </si>
  <si>
    <t>Design 37</t>
  </si>
  <si>
    <t>Design 45</t>
  </si>
  <si>
    <t>Design 6</t>
  </si>
  <si>
    <t>Design 14</t>
  </si>
  <si>
    <t>Design 22</t>
  </si>
  <si>
    <t>Design 30</t>
  </si>
  <si>
    <t>Design 38</t>
  </si>
  <si>
    <t>Design 46</t>
  </si>
  <si>
    <t>Design 7</t>
  </si>
  <si>
    <t>Design 15</t>
  </si>
  <si>
    <t>Design 23</t>
  </si>
  <si>
    <t>Design 31</t>
  </si>
  <si>
    <t>Design 39</t>
  </si>
  <si>
    <t>Design 47</t>
  </si>
  <si>
    <t>Design 8</t>
  </si>
  <si>
    <t>Design 16</t>
  </si>
  <si>
    <t>Design 24</t>
  </si>
  <si>
    <t>Design 32</t>
  </si>
  <si>
    <t>Design 40</t>
  </si>
  <si>
    <t>A</t>
  </si>
  <si>
    <t>B</t>
  </si>
  <si>
    <t>C</t>
  </si>
  <si>
    <t>D</t>
  </si>
  <si>
    <t>E</t>
  </si>
  <si>
    <t>F</t>
  </si>
  <si>
    <t>G</t>
  </si>
  <si>
    <t>H</t>
  </si>
  <si>
    <t>Plate Scheme</t>
  </si>
  <si>
    <t>Absorpition value at 5min-0min</t>
  </si>
  <si>
    <t>wt average</t>
  </si>
  <si>
    <t>Value in column B - wild type reactivity</t>
  </si>
  <si>
    <t>Design</t>
  </si>
  <si>
    <t>Comparison to wild type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</si>
</sst>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sz val="11"/>
      <color rgb="FFFFFFFF"/>
      <name val="Calibri"/>
      <charset val="134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2" fontId="0" fillId="0" borderId="0" xfId="0" applyNumberFormat="1"/>
    <xf numFmtId="0" fontId="4" fillId="0" borderId="0" xfId="0" applyFont="1"/>
    <xf numFmtId="0" fontId="5" fillId="2" borderId="0" xfId="0" applyFont="1" applyFill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1465-867E-4DEC-AB92-E7ED144212BB}">
  <dimension ref="A1:CS101"/>
  <sheetViews>
    <sheetView tabSelected="1" workbookViewId="0">
      <selection activeCell="N19" sqref="N19"/>
    </sheetView>
  </sheetViews>
  <sheetFormatPr defaultRowHeight="15"/>
  <cols>
    <col min="2" max="2" width="29.42578125" bestFit="1" customWidth="1"/>
    <col min="4" max="4" width="22" customWidth="1"/>
    <col min="18" max="18" width="17.28515625" customWidth="1"/>
  </cols>
  <sheetData>
    <row r="1" spans="1:97" ht="30">
      <c r="B1" s="4" t="s">
        <v>157</v>
      </c>
      <c r="D1" s="6" t="s">
        <v>159</v>
      </c>
      <c r="Q1" s="6" t="s">
        <v>160</v>
      </c>
      <c r="R1" s="6" t="s">
        <v>161</v>
      </c>
    </row>
    <row r="2" spans="1:97">
      <c r="A2" s="2" t="s">
        <v>0</v>
      </c>
      <c r="B2">
        <v>4.2000000000000093E-3</v>
      </c>
      <c r="D2">
        <f>B2/$B$99</f>
        <v>9.085992428339662E-2</v>
      </c>
      <c r="H2" s="3">
        <v>9.0859924283396606E-2</v>
      </c>
      <c r="I2" s="3">
        <v>2.1633315305571196E-3</v>
      </c>
      <c r="J2" s="3">
        <v>0.1427798810167657</v>
      </c>
      <c r="K2" s="3">
        <v>2.4121146565711191</v>
      </c>
      <c r="L2" s="3">
        <v>4.9756625202812252E-2</v>
      </c>
      <c r="M2" s="3">
        <v>0</v>
      </c>
      <c r="N2" s="3">
        <v>6.4899945916713593E-3</v>
      </c>
      <c r="O2" s="3">
        <v>0</v>
      </c>
      <c r="Q2" t="s">
        <v>99</v>
      </c>
      <c r="R2" s="3">
        <v>9.0859924283396606E-2</v>
      </c>
    </row>
    <row r="3" spans="1:97">
      <c r="A3" s="2" t="s">
        <v>1</v>
      </c>
      <c r="B3">
        <v>1.0000000000000286E-4</v>
      </c>
      <c r="D3">
        <f>B3/$B$99</f>
        <v>2.1633315305571196E-3</v>
      </c>
      <c r="F3" s="1"/>
      <c r="G3" s="1"/>
      <c r="H3" s="3">
        <v>0.33964305029745789</v>
      </c>
      <c r="I3" s="3">
        <v>0</v>
      </c>
      <c r="J3" s="3">
        <v>0.81557598702001044</v>
      </c>
      <c r="K3" s="3">
        <v>0.22931314223904808</v>
      </c>
      <c r="L3" s="3">
        <v>0.27041644131963244</v>
      </c>
      <c r="M3" s="3">
        <v>0.29421308815575986</v>
      </c>
      <c r="N3" s="3">
        <v>0.24445646295294732</v>
      </c>
      <c r="O3" s="3">
        <v>0</v>
      </c>
      <c r="Q3" t="s">
        <v>106</v>
      </c>
      <c r="R3" s="3">
        <v>0.33964305029745789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</row>
    <row r="4" spans="1:97">
      <c r="A4" s="2" t="s">
        <v>2</v>
      </c>
      <c r="B4">
        <v>6.5999999999999948E-3</v>
      </c>
      <c r="D4">
        <f>B4/$B$99</f>
        <v>0.1427798810167657</v>
      </c>
      <c r="H4" s="3">
        <v>0.43699296917252589</v>
      </c>
      <c r="I4" s="3">
        <v>0.72255273120605801</v>
      </c>
      <c r="J4" s="3">
        <v>1.0816657652785298E-2</v>
      </c>
      <c r="K4" s="3">
        <v>0.3656030286641424</v>
      </c>
      <c r="L4" s="3">
        <v>0.62520281233098929</v>
      </c>
      <c r="M4" s="3">
        <v>0.68793942671714425</v>
      </c>
      <c r="N4" s="3">
        <v>0.99513250405624687</v>
      </c>
      <c r="O4" s="3">
        <v>0.12330989724175222</v>
      </c>
      <c r="Q4" t="s">
        <v>113</v>
      </c>
      <c r="R4" s="3">
        <v>0.43699296917252589</v>
      </c>
    </row>
    <row r="5" spans="1:97">
      <c r="A5" s="2" t="s">
        <v>3</v>
      </c>
      <c r="B5">
        <v>0.11149999999999999</v>
      </c>
      <c r="D5">
        <f>B5/$B$99</f>
        <v>2.4121146565711191</v>
      </c>
      <c r="H5" s="3">
        <v>0.83720930232558133</v>
      </c>
      <c r="I5" s="3">
        <v>-2.1633315305571196E-3</v>
      </c>
      <c r="J5" s="3">
        <v>0</v>
      </c>
      <c r="K5" s="3">
        <v>0.47160627366143859</v>
      </c>
      <c r="L5" s="3">
        <v>4.3266630611141194E-2</v>
      </c>
      <c r="M5" s="3">
        <v>1.0816657652784998E-2</v>
      </c>
      <c r="N5" s="3">
        <v>1.0513791238507302</v>
      </c>
      <c r="O5" s="3">
        <v>0</v>
      </c>
      <c r="Q5" t="s">
        <v>119</v>
      </c>
      <c r="R5" s="3">
        <v>0.83720930232558133</v>
      </c>
    </row>
    <row r="6" spans="1:97">
      <c r="A6" s="2" t="s">
        <v>4</v>
      </c>
      <c r="B6">
        <v>2.2999999999999965E-3</v>
      </c>
      <c r="D6">
        <f>B6/$B$99</f>
        <v>4.9756625202812252E-2</v>
      </c>
      <c r="H6" s="3">
        <v>0.72038939967550042</v>
      </c>
      <c r="I6" s="3">
        <v>0</v>
      </c>
      <c r="J6" s="3">
        <v>0.33315305570578685</v>
      </c>
      <c r="K6" s="3">
        <v>-2.1633315305571196E-3</v>
      </c>
      <c r="L6" s="3">
        <v>5.8409951325040732E-2</v>
      </c>
      <c r="M6" s="3">
        <v>0.20335316387236324</v>
      </c>
      <c r="N6" s="3">
        <v>1.0037858301784748</v>
      </c>
      <c r="O6" s="3">
        <v>0.1427798810167657</v>
      </c>
      <c r="Q6" t="s">
        <v>125</v>
      </c>
      <c r="R6" s="3">
        <v>0.72038939967550042</v>
      </c>
    </row>
    <row r="7" spans="1:97">
      <c r="A7" s="2" t="s">
        <v>5</v>
      </c>
      <c r="B7">
        <v>-2.0000000000000018E-3</v>
      </c>
      <c r="D7">
        <f>B7/$B$99</f>
        <v>-4.3266630611141194E-2</v>
      </c>
      <c r="H7" s="3">
        <v>0.44564629529475408</v>
      </c>
      <c r="I7" s="3">
        <v>-4.3266630611142392E-3</v>
      </c>
      <c r="J7" s="3">
        <v>2.2152514872904274</v>
      </c>
      <c r="K7" s="3">
        <v>2.1633315305571196E-3</v>
      </c>
      <c r="L7" s="3">
        <v>0.32017306652244443</v>
      </c>
      <c r="M7" s="3">
        <v>8.2206598161168154E-2</v>
      </c>
      <c r="N7" s="3">
        <v>0.94970254191454828</v>
      </c>
      <c r="O7" s="3">
        <v>0</v>
      </c>
      <c r="Q7" t="s">
        <v>131</v>
      </c>
      <c r="R7" s="3">
        <v>0.44564629529475408</v>
      </c>
    </row>
    <row r="8" spans="1:97">
      <c r="A8" s="2" t="s">
        <v>6</v>
      </c>
      <c r="B8">
        <v>3.0000000000000859E-4</v>
      </c>
      <c r="D8">
        <f>B8/$B$99</f>
        <v>6.4899945916713593E-3</v>
      </c>
      <c r="H8" s="3">
        <v>0.24012979989183339</v>
      </c>
      <c r="I8" s="3">
        <v>3.6776636019470135E-2</v>
      </c>
      <c r="J8" s="3">
        <v>1.3153055705786909</v>
      </c>
      <c r="K8" s="3">
        <v>0.15143320713899419</v>
      </c>
      <c r="L8" s="3">
        <v>-2.1633315305568195E-3</v>
      </c>
      <c r="M8" s="3">
        <v>3.2449972958355895E-2</v>
      </c>
      <c r="N8" s="3">
        <v>0</v>
      </c>
      <c r="O8" s="3">
        <v>8.2206598161168154E-2</v>
      </c>
      <c r="Q8" t="s">
        <v>137</v>
      </c>
      <c r="R8" s="3">
        <v>0.24012979989183339</v>
      </c>
    </row>
    <row r="9" spans="1:97">
      <c r="A9" s="2" t="s">
        <v>7</v>
      </c>
      <c r="B9">
        <v>-2.1999999999999936E-3</v>
      </c>
      <c r="D9">
        <f>B9/$B$99</f>
        <v>-4.7593293672255135E-2</v>
      </c>
      <c r="H9" s="3">
        <v>3.2449972958355895E-2</v>
      </c>
      <c r="I9" s="3">
        <v>0.23580313683071916</v>
      </c>
      <c r="J9" s="3">
        <v>0.22282314764737673</v>
      </c>
      <c r="K9" s="3">
        <v>2.8123309897241957E-2</v>
      </c>
      <c r="L9" s="3">
        <v>0</v>
      </c>
      <c r="M9" s="3">
        <v>3.6776636019469837E-2</v>
      </c>
      <c r="N9" s="3">
        <v>0</v>
      </c>
      <c r="O9" s="3">
        <v>0</v>
      </c>
      <c r="Q9" t="s">
        <v>143</v>
      </c>
      <c r="R9" s="3">
        <v>3.2449972958355895E-2</v>
      </c>
    </row>
    <row r="10" spans="1:97">
      <c r="A10" s="2" t="s">
        <v>8</v>
      </c>
      <c r="B10">
        <v>0</v>
      </c>
      <c r="D10">
        <f>B10/$B$99</f>
        <v>0</v>
      </c>
      <c r="Q10" t="s">
        <v>100</v>
      </c>
      <c r="R10" s="3">
        <v>2.1633315305571196E-3</v>
      </c>
    </row>
    <row r="11" spans="1:97">
      <c r="A11" s="2" t="s">
        <v>9</v>
      </c>
      <c r="B11">
        <v>0</v>
      </c>
      <c r="D11">
        <f>B11/$B$99</f>
        <v>0</v>
      </c>
      <c r="Q11" t="s">
        <v>107</v>
      </c>
      <c r="R11" s="3">
        <v>0</v>
      </c>
    </row>
    <row r="12" spans="1:97">
      <c r="A12" s="2" t="s">
        <v>10</v>
      </c>
      <c r="B12">
        <v>0</v>
      </c>
      <c r="D12">
        <f>B12/$B$99</f>
        <v>0</v>
      </c>
      <c r="Q12" t="s">
        <v>114</v>
      </c>
      <c r="R12" s="3">
        <v>0.72255273120605756</v>
      </c>
    </row>
    <row r="13" spans="1:97">
      <c r="A13" s="2" t="s">
        <v>11</v>
      </c>
      <c r="B13">
        <v>0</v>
      </c>
      <c r="D13">
        <f>B13/$B$99</f>
        <v>0</v>
      </c>
      <c r="Q13" t="s">
        <v>120</v>
      </c>
      <c r="R13" s="3">
        <v>-2.1633315305571196E-3</v>
      </c>
    </row>
    <row r="14" spans="1:97">
      <c r="A14" s="2" t="s">
        <v>12</v>
      </c>
      <c r="B14">
        <v>1.5699999999999992E-2</v>
      </c>
      <c r="D14">
        <f>B14/$B$99</f>
        <v>0.33964305029745789</v>
      </c>
      <c r="Q14" t="s">
        <v>126</v>
      </c>
      <c r="R14" s="3">
        <v>0</v>
      </c>
    </row>
    <row r="15" spans="1:97">
      <c r="A15" s="2" t="s">
        <v>13</v>
      </c>
      <c r="B15">
        <v>-5.0000000000000044E-4</v>
      </c>
      <c r="D15">
        <f>B15/$B$99</f>
        <v>-1.0816657652785298E-2</v>
      </c>
      <c r="Q15" t="s">
        <v>132</v>
      </c>
      <c r="R15" s="3">
        <v>-4.3266630611142392E-3</v>
      </c>
    </row>
    <row r="16" spans="1:97">
      <c r="A16" s="2" t="s">
        <v>14</v>
      </c>
      <c r="B16">
        <v>3.7699999999999984E-2</v>
      </c>
      <c r="D16">
        <f>B16/$B$99</f>
        <v>0.81557598702001044</v>
      </c>
      <c r="Q16" t="s">
        <v>138</v>
      </c>
      <c r="R16" s="3">
        <v>3.6776636019470135E-2</v>
      </c>
    </row>
    <row r="17" spans="1:18">
      <c r="A17" s="2" t="s">
        <v>15</v>
      </c>
      <c r="B17">
        <v>1.0599999999999998E-2</v>
      </c>
      <c r="D17">
        <f>B17/$B$99</f>
        <v>0.22931314223904808</v>
      </c>
      <c r="Q17" t="s">
        <v>144</v>
      </c>
      <c r="R17" s="3">
        <v>0.23580313683071916</v>
      </c>
    </row>
    <row r="18" spans="1:18">
      <c r="A18" s="2" t="s">
        <v>16</v>
      </c>
      <c r="B18">
        <v>1.2500000000000011E-2</v>
      </c>
      <c r="D18">
        <f>B18/$B$99</f>
        <v>0.27041644131963244</v>
      </c>
      <c r="Q18" t="s">
        <v>101</v>
      </c>
      <c r="R18" s="3">
        <v>0.1427798810167657</v>
      </c>
    </row>
    <row r="19" spans="1:18">
      <c r="A19" s="2" t="s">
        <v>17</v>
      </c>
      <c r="B19">
        <v>1.3600000000000001E-2</v>
      </c>
      <c r="D19">
        <f>B19/$B$99</f>
        <v>0.29421308815575986</v>
      </c>
      <c r="Q19" t="s">
        <v>108</v>
      </c>
      <c r="R19" s="3">
        <v>0.81557598702001044</v>
      </c>
    </row>
    <row r="20" spans="1:18">
      <c r="A20" s="2" t="s">
        <v>18</v>
      </c>
      <c r="B20">
        <v>1.1299999999999991E-2</v>
      </c>
      <c r="D20">
        <f>B20/$B$99</f>
        <v>0.24445646295294732</v>
      </c>
      <c r="G20" s="4" t="s">
        <v>156</v>
      </c>
      <c r="Q20" t="s">
        <v>115</v>
      </c>
      <c r="R20" s="3">
        <v>1.0816657652785298E-2</v>
      </c>
    </row>
    <row r="21" spans="1:18">
      <c r="A21" s="2" t="s">
        <v>19</v>
      </c>
      <c r="B21">
        <v>-1.5000000000000013E-3</v>
      </c>
      <c r="D21">
        <f>B21/$B$99</f>
        <v>-3.2449972958355895E-2</v>
      </c>
      <c r="H21" s="4">
        <v>1</v>
      </c>
      <c r="I21" s="4">
        <v>2</v>
      </c>
      <c r="J21" s="4">
        <v>3</v>
      </c>
      <c r="K21" s="4">
        <v>4</v>
      </c>
      <c r="L21" s="4">
        <v>5</v>
      </c>
      <c r="M21" s="4">
        <v>6</v>
      </c>
      <c r="N21" s="4">
        <v>7</v>
      </c>
      <c r="O21" s="4">
        <v>8</v>
      </c>
      <c r="Q21" t="s">
        <v>121</v>
      </c>
      <c r="R21" s="3">
        <v>0</v>
      </c>
    </row>
    <row r="22" spans="1:18">
      <c r="A22" s="2" t="s">
        <v>20</v>
      </c>
      <c r="B22">
        <v>0</v>
      </c>
      <c r="D22">
        <f>B22/$B$99</f>
        <v>0</v>
      </c>
      <c r="G22" s="4" t="s">
        <v>148</v>
      </c>
      <c r="H22" t="s">
        <v>99</v>
      </c>
      <c r="I22" t="s">
        <v>100</v>
      </c>
      <c r="J22" t="s">
        <v>101</v>
      </c>
      <c r="K22" t="s">
        <v>102</v>
      </c>
      <c r="L22" t="s">
        <v>103</v>
      </c>
      <c r="M22" t="s">
        <v>104</v>
      </c>
      <c r="N22" t="s">
        <v>105</v>
      </c>
      <c r="O22" t="s">
        <v>98</v>
      </c>
      <c r="Q22" t="s">
        <v>127</v>
      </c>
      <c r="R22" s="3">
        <v>0.33315305570578685</v>
      </c>
    </row>
    <row r="23" spans="1:18">
      <c r="A23" s="2" t="s">
        <v>21</v>
      </c>
      <c r="B23">
        <v>0</v>
      </c>
      <c r="D23">
        <f>B23/$B$99</f>
        <v>0</v>
      </c>
      <c r="G23" s="4" t="s">
        <v>149</v>
      </c>
      <c r="H23" t="s">
        <v>106</v>
      </c>
      <c r="I23" t="s">
        <v>107</v>
      </c>
      <c r="J23" t="s">
        <v>108</v>
      </c>
      <c r="K23" t="s">
        <v>109</v>
      </c>
      <c r="L23" t="s">
        <v>110</v>
      </c>
      <c r="M23" t="s">
        <v>111</v>
      </c>
      <c r="N23" t="s">
        <v>112</v>
      </c>
      <c r="O23" t="s">
        <v>98</v>
      </c>
      <c r="Q23" t="s">
        <v>133</v>
      </c>
      <c r="R23" s="3">
        <v>2.2152514872904274</v>
      </c>
    </row>
    <row r="24" spans="1:18">
      <c r="A24" s="2" t="s">
        <v>22</v>
      </c>
      <c r="B24">
        <v>0</v>
      </c>
      <c r="D24">
        <f>B24/$B$99</f>
        <v>0</v>
      </c>
      <c r="G24" s="4" t="s">
        <v>150</v>
      </c>
      <c r="H24" t="s">
        <v>113</v>
      </c>
      <c r="I24" t="s">
        <v>114</v>
      </c>
      <c r="J24" t="s">
        <v>115</v>
      </c>
      <c r="K24" t="s">
        <v>116</v>
      </c>
      <c r="L24" t="s">
        <v>117</v>
      </c>
      <c r="M24" t="s">
        <v>118</v>
      </c>
      <c r="N24" t="s">
        <v>96</v>
      </c>
      <c r="O24" t="s">
        <v>98</v>
      </c>
      <c r="Q24" t="s">
        <v>139</v>
      </c>
      <c r="R24" s="3">
        <v>1.3153055705786909</v>
      </c>
    </row>
    <row r="25" spans="1:18">
      <c r="A25" s="2" t="s">
        <v>23</v>
      </c>
      <c r="B25">
        <v>0</v>
      </c>
      <c r="D25">
        <f>B25/$B$99</f>
        <v>0</v>
      </c>
      <c r="G25" s="4" t="s">
        <v>151</v>
      </c>
      <c r="H25" t="s">
        <v>119</v>
      </c>
      <c r="I25" t="s">
        <v>120</v>
      </c>
      <c r="J25" t="s">
        <v>121</v>
      </c>
      <c r="K25" t="s">
        <v>122</v>
      </c>
      <c r="L25" t="s">
        <v>123</v>
      </c>
      <c r="M25" t="s">
        <v>124</v>
      </c>
      <c r="N25" t="s">
        <v>96</v>
      </c>
      <c r="O25" t="s">
        <v>98</v>
      </c>
      <c r="Q25" t="s">
        <v>145</v>
      </c>
      <c r="R25" s="3">
        <v>0.22282314764737673</v>
      </c>
    </row>
    <row r="26" spans="1:18">
      <c r="A26" s="2" t="s">
        <v>24</v>
      </c>
      <c r="B26">
        <v>2.020000000000001E-2</v>
      </c>
      <c r="D26">
        <f>B26/$B$99</f>
        <v>0.43699296917252589</v>
      </c>
      <c r="G26" s="4" t="s">
        <v>152</v>
      </c>
      <c r="H26" t="s">
        <v>125</v>
      </c>
      <c r="I26" t="s">
        <v>126</v>
      </c>
      <c r="J26" t="s">
        <v>127</v>
      </c>
      <c r="K26" t="s">
        <v>128</v>
      </c>
      <c r="L26" t="s">
        <v>129</v>
      </c>
      <c r="M26" t="s">
        <v>130</v>
      </c>
      <c r="N26" t="s">
        <v>96</v>
      </c>
      <c r="O26" t="s">
        <v>98</v>
      </c>
      <c r="Q26" t="s">
        <v>102</v>
      </c>
      <c r="R26" s="3">
        <v>2.4121146565711191</v>
      </c>
    </row>
    <row r="27" spans="1:18">
      <c r="A27" s="2" t="s">
        <v>25</v>
      </c>
      <c r="B27">
        <v>3.3400000000000013E-2</v>
      </c>
      <c r="D27">
        <f>B27/$B$99</f>
        <v>0.72255273120605756</v>
      </c>
      <c r="G27" s="4" t="s">
        <v>153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96</v>
      </c>
      <c r="O27" t="s">
        <v>98</v>
      </c>
      <c r="Q27" t="s">
        <v>109</v>
      </c>
      <c r="R27" s="3">
        <v>0.22931314223904808</v>
      </c>
    </row>
    <row r="28" spans="1:18">
      <c r="A28" s="2" t="s">
        <v>26</v>
      </c>
      <c r="B28">
        <v>5.0000000000000044E-4</v>
      </c>
      <c r="D28">
        <f>B28/$B$99</f>
        <v>1.0816657652785298E-2</v>
      </c>
      <c r="G28" s="4" t="s">
        <v>154</v>
      </c>
      <c r="H28" t="s">
        <v>137</v>
      </c>
      <c r="I28" t="s">
        <v>138</v>
      </c>
      <c r="J28" t="s">
        <v>139</v>
      </c>
      <c r="K28" t="s">
        <v>140</v>
      </c>
      <c r="L28" t="s">
        <v>141</v>
      </c>
      <c r="M28" t="s">
        <v>142</v>
      </c>
      <c r="N28" t="s">
        <v>97</v>
      </c>
      <c r="O28" t="s">
        <v>98</v>
      </c>
      <c r="Q28" t="s">
        <v>116</v>
      </c>
      <c r="R28" s="3">
        <v>0.3656030286641424</v>
      </c>
    </row>
    <row r="29" spans="1:18">
      <c r="A29" s="2" t="s">
        <v>27</v>
      </c>
      <c r="B29">
        <v>1.6899999999999984E-2</v>
      </c>
      <c r="D29">
        <f>B29/$B$99</f>
        <v>0.3656030286641424</v>
      </c>
      <c r="G29" s="4" t="s">
        <v>155</v>
      </c>
      <c r="H29" t="s">
        <v>143</v>
      </c>
      <c r="I29" t="s">
        <v>144</v>
      </c>
      <c r="J29" t="s">
        <v>145</v>
      </c>
      <c r="K29" t="s">
        <v>146</v>
      </c>
      <c r="L29" t="s">
        <v>147</v>
      </c>
      <c r="M29" t="s">
        <v>105</v>
      </c>
      <c r="N29" t="s">
        <v>97</v>
      </c>
      <c r="O29" t="s">
        <v>98</v>
      </c>
      <c r="Q29" t="s">
        <v>122</v>
      </c>
      <c r="R29" s="3">
        <v>0.47160627366143859</v>
      </c>
    </row>
    <row r="30" spans="1:18">
      <c r="A30" s="2" t="s">
        <v>28</v>
      </c>
      <c r="B30">
        <v>2.8899999999999981E-2</v>
      </c>
      <c r="D30">
        <f>B30/$B$99</f>
        <v>0.62520281233098929</v>
      </c>
      <c r="Q30" t="s">
        <v>128</v>
      </c>
      <c r="R30" s="3">
        <v>-2.1633315305571196E-3</v>
      </c>
    </row>
    <row r="31" spans="1:18">
      <c r="A31" s="2" t="s">
        <v>29</v>
      </c>
      <c r="B31">
        <v>3.1799999999999995E-2</v>
      </c>
      <c r="D31">
        <f>B31/$B$99</f>
        <v>0.68793942671714425</v>
      </c>
      <c r="Q31" t="s">
        <v>134</v>
      </c>
      <c r="R31" s="3">
        <v>2.1633315305571196E-3</v>
      </c>
    </row>
    <row r="32" spans="1:18">
      <c r="A32" s="2" t="s">
        <v>30</v>
      </c>
      <c r="B32">
        <v>4.6000000000000013E-2</v>
      </c>
      <c r="D32">
        <f>B32/$B$99</f>
        <v>0.99513250405624687</v>
      </c>
      <c r="Q32" t="s">
        <v>140</v>
      </c>
      <c r="R32" s="3">
        <v>0.15143320713899419</v>
      </c>
    </row>
    <row r="33" spans="1:18">
      <c r="A33" s="2" t="s">
        <v>31</v>
      </c>
      <c r="B33">
        <v>5.6999999999999967E-3</v>
      </c>
      <c r="D33">
        <f>B33/$B$99</f>
        <v>0.12330989724175222</v>
      </c>
      <c r="Q33" t="s">
        <v>146</v>
      </c>
      <c r="R33" s="3">
        <v>2.8123309897241957E-2</v>
      </c>
    </row>
    <row r="34" spans="1:18">
      <c r="A34" s="2" t="s">
        <v>32</v>
      </c>
      <c r="B34">
        <v>0</v>
      </c>
      <c r="D34">
        <f>B34/$B$99</f>
        <v>0</v>
      </c>
      <c r="Q34" t="s">
        <v>103</v>
      </c>
      <c r="R34" s="3">
        <v>4.9756625202812252E-2</v>
      </c>
    </row>
    <row r="35" spans="1:18">
      <c r="A35" s="2" t="s">
        <v>33</v>
      </c>
      <c r="B35">
        <v>0</v>
      </c>
      <c r="D35">
        <f>B35/$B$99</f>
        <v>0</v>
      </c>
      <c r="Q35" t="s">
        <v>110</v>
      </c>
      <c r="R35" s="3">
        <v>0.27041644131963244</v>
      </c>
    </row>
    <row r="36" spans="1:18">
      <c r="A36" s="2" t="s">
        <v>34</v>
      </c>
      <c r="B36">
        <v>0</v>
      </c>
      <c r="D36">
        <f>B36/$B$99</f>
        <v>0</v>
      </c>
      <c r="Q36" t="s">
        <v>117</v>
      </c>
      <c r="R36" s="3">
        <v>0.62520281233098929</v>
      </c>
    </row>
    <row r="37" spans="1:18">
      <c r="A37" s="2" t="s">
        <v>35</v>
      </c>
      <c r="B37">
        <v>0</v>
      </c>
      <c r="D37">
        <f>B37/$B$99</f>
        <v>0</v>
      </c>
      <c r="Q37" t="s">
        <v>123</v>
      </c>
      <c r="R37" s="3">
        <v>4.3266630611141194E-2</v>
      </c>
    </row>
    <row r="38" spans="1:18">
      <c r="A38" s="2" t="s">
        <v>36</v>
      </c>
      <c r="B38">
        <v>3.8699999999999998E-2</v>
      </c>
      <c r="D38">
        <f>B38/$B$99</f>
        <v>0.83720930232558133</v>
      </c>
      <c r="Q38" t="s">
        <v>129</v>
      </c>
      <c r="R38" s="3">
        <v>5.8409951325040732E-2</v>
      </c>
    </row>
    <row r="39" spans="1:18">
      <c r="A39" s="2" t="s">
        <v>37</v>
      </c>
      <c r="B39">
        <v>-1.0000000000000286E-4</v>
      </c>
      <c r="D39">
        <f>B39/$B$99</f>
        <v>-2.1633315305571196E-3</v>
      </c>
      <c r="Q39" t="s">
        <v>135</v>
      </c>
      <c r="R39" s="3">
        <v>0.32017306652244443</v>
      </c>
    </row>
    <row r="40" spans="1:18">
      <c r="A40" s="2" t="s">
        <v>38</v>
      </c>
      <c r="B40">
        <v>-7.0000000000000617E-4</v>
      </c>
      <c r="D40">
        <f>B40/$B$99</f>
        <v>-1.5143320713899538E-2</v>
      </c>
      <c r="Q40" t="s">
        <v>141</v>
      </c>
      <c r="R40" s="3">
        <v>-2.1633315305568195E-3</v>
      </c>
    </row>
    <row r="41" spans="1:18">
      <c r="A41" s="2" t="s">
        <v>39</v>
      </c>
      <c r="B41">
        <v>2.18E-2</v>
      </c>
      <c r="D41">
        <f>B41/$B$99</f>
        <v>0.47160627366143859</v>
      </c>
      <c r="Q41" t="s">
        <v>147</v>
      </c>
      <c r="R41" s="3">
        <v>0</v>
      </c>
    </row>
    <row r="42" spans="1:18">
      <c r="A42" s="2" t="s">
        <v>40</v>
      </c>
      <c r="B42">
        <v>2.0000000000000018E-3</v>
      </c>
      <c r="D42">
        <f>B42/$B$99</f>
        <v>4.3266630611141194E-2</v>
      </c>
      <c r="Q42" t="s">
        <v>104</v>
      </c>
      <c r="R42" s="3">
        <v>0</v>
      </c>
    </row>
    <row r="43" spans="1:18">
      <c r="A43" s="2" t="s">
        <v>41</v>
      </c>
      <c r="B43">
        <v>4.9999999999998657E-4</v>
      </c>
      <c r="D43">
        <f>B43/$B$99</f>
        <v>1.0816657652784998E-2</v>
      </c>
      <c r="Q43" t="s">
        <v>111</v>
      </c>
      <c r="R43" s="3">
        <v>0.29421308815575986</v>
      </c>
    </row>
    <row r="44" spans="1:18">
      <c r="A44" s="2" t="s">
        <v>42</v>
      </c>
      <c r="B44">
        <v>4.8600000000000004E-2</v>
      </c>
      <c r="D44">
        <f>B44/$B$99</f>
        <v>1.0513791238507302</v>
      </c>
      <c r="Q44" t="s">
        <v>118</v>
      </c>
      <c r="R44" s="3">
        <v>0.68793942671714425</v>
      </c>
    </row>
    <row r="45" spans="1:18">
      <c r="A45" s="2" t="s">
        <v>43</v>
      </c>
      <c r="B45">
        <v>-1.5000000000000013E-3</v>
      </c>
      <c r="D45">
        <f>B45/$B$99</f>
        <v>-3.2449972958355895E-2</v>
      </c>
      <c r="Q45" t="s">
        <v>124</v>
      </c>
      <c r="R45" s="3">
        <v>1.0816657652784998E-2</v>
      </c>
    </row>
    <row r="46" spans="1:18">
      <c r="A46" s="2" t="s">
        <v>44</v>
      </c>
      <c r="B46">
        <v>0</v>
      </c>
      <c r="D46">
        <f>B46/$B$99</f>
        <v>0</v>
      </c>
      <c r="Q46" t="s">
        <v>130</v>
      </c>
      <c r="R46" s="3">
        <v>0.20335316387236324</v>
      </c>
    </row>
    <row r="47" spans="1:18">
      <c r="A47" s="2" t="s">
        <v>45</v>
      </c>
      <c r="B47">
        <v>0</v>
      </c>
      <c r="D47">
        <f>B47/$B$99</f>
        <v>0</v>
      </c>
      <c r="Q47" t="s">
        <v>136</v>
      </c>
      <c r="R47" s="3">
        <v>8.2206598161168154E-2</v>
      </c>
    </row>
    <row r="48" spans="1:18">
      <c r="A48" s="2" t="s">
        <v>46</v>
      </c>
      <c r="B48">
        <v>0</v>
      </c>
      <c r="D48">
        <f>B48/$B$99</f>
        <v>0</v>
      </c>
      <c r="Q48" t="s">
        <v>142</v>
      </c>
      <c r="R48" s="3">
        <v>3.2449972958355895E-2</v>
      </c>
    </row>
    <row r="49" spans="1:18">
      <c r="A49" s="2" t="s">
        <v>47</v>
      </c>
      <c r="B49">
        <v>0</v>
      </c>
      <c r="D49">
        <f>B49/$B$99</f>
        <v>0</v>
      </c>
      <c r="Q49" t="s">
        <v>105</v>
      </c>
      <c r="R49" s="3">
        <v>3.6776636019469837E-2</v>
      </c>
    </row>
    <row r="50" spans="1:18">
      <c r="A50" s="2" t="s">
        <v>48</v>
      </c>
      <c r="B50">
        <v>3.330000000000001E-2</v>
      </c>
      <c r="D50">
        <f>B50/$B$99</f>
        <v>0.72038939967550042</v>
      </c>
      <c r="Q50" t="s">
        <v>105</v>
      </c>
      <c r="R50" s="3">
        <v>6.4899945916713593E-3</v>
      </c>
    </row>
    <row r="51" spans="1:18">
      <c r="A51" s="2" t="s">
        <v>49</v>
      </c>
      <c r="B51">
        <v>0</v>
      </c>
      <c r="D51">
        <f>B51/$B$99</f>
        <v>0</v>
      </c>
      <c r="Q51" t="s">
        <v>112</v>
      </c>
      <c r="R51" s="3">
        <v>0.24445646295294732</v>
      </c>
    </row>
    <row r="52" spans="1:18">
      <c r="A52" s="2" t="s">
        <v>50</v>
      </c>
      <c r="B52">
        <v>1.5399999999999997E-2</v>
      </c>
      <c r="D52">
        <f>B52/$B$99</f>
        <v>0.33315305570578685</v>
      </c>
      <c r="Q52" t="s">
        <v>96</v>
      </c>
      <c r="R52" s="3">
        <v>1</v>
      </c>
    </row>
    <row r="53" spans="1:18">
      <c r="A53" s="2" t="s">
        <v>51</v>
      </c>
      <c r="B53">
        <v>-1.0000000000000286E-4</v>
      </c>
      <c r="D53">
        <f>B53/$B$99</f>
        <v>-2.1633315305571196E-3</v>
      </c>
    </row>
    <row r="54" spans="1:18">
      <c r="A54" s="2" t="s">
        <v>52</v>
      </c>
      <c r="B54">
        <v>2.7000000000000079E-3</v>
      </c>
      <c r="D54">
        <f>B54/$B$99</f>
        <v>5.8409951325040732E-2</v>
      </c>
    </row>
    <row r="55" spans="1:18">
      <c r="A55" s="2" t="s">
        <v>53</v>
      </c>
      <c r="B55">
        <v>9.3999999999999917E-3</v>
      </c>
      <c r="D55">
        <f>B55/$B$99</f>
        <v>0.20335316387236324</v>
      </c>
    </row>
    <row r="56" spans="1:18">
      <c r="A56" s="2" t="s">
        <v>54</v>
      </c>
      <c r="B56">
        <v>4.6399999999999997E-2</v>
      </c>
      <c r="D56">
        <f>B56/$B$99</f>
        <v>1.0037858301784748</v>
      </c>
    </row>
    <row r="57" spans="1:18">
      <c r="A57" s="2" t="s">
        <v>55</v>
      </c>
      <c r="B57">
        <v>6.5999999999999948E-3</v>
      </c>
      <c r="D57">
        <f>B57/$B$99</f>
        <v>0.1427798810167657</v>
      </c>
    </row>
    <row r="58" spans="1:18">
      <c r="A58" s="2" t="s">
        <v>56</v>
      </c>
      <c r="B58">
        <v>0</v>
      </c>
      <c r="D58">
        <f>B58/$B$99</f>
        <v>0</v>
      </c>
    </row>
    <row r="59" spans="1:18">
      <c r="A59" s="2" t="s">
        <v>57</v>
      </c>
      <c r="B59">
        <v>0</v>
      </c>
      <c r="D59">
        <f>B59/$B$99</f>
        <v>0</v>
      </c>
    </row>
    <row r="60" spans="1:18">
      <c r="A60" s="2" t="s">
        <v>58</v>
      </c>
      <c r="B60">
        <v>0</v>
      </c>
      <c r="D60">
        <f>B60/$B$99</f>
        <v>0</v>
      </c>
    </row>
    <row r="61" spans="1:18">
      <c r="A61" s="2" t="s">
        <v>59</v>
      </c>
      <c r="B61">
        <v>0</v>
      </c>
      <c r="D61">
        <f>B61/$B$99</f>
        <v>0</v>
      </c>
    </row>
    <row r="62" spans="1:18">
      <c r="A62" s="2" t="s">
        <v>60</v>
      </c>
      <c r="B62">
        <v>2.0600000000000007E-2</v>
      </c>
      <c r="D62">
        <f>B62/$B$99</f>
        <v>0.44564629529475408</v>
      </c>
    </row>
    <row r="63" spans="1:18">
      <c r="A63" s="2" t="s">
        <v>61</v>
      </c>
      <c r="B63">
        <v>-2.0000000000000573E-4</v>
      </c>
      <c r="D63">
        <f>B63/$B$99</f>
        <v>-4.3266630611142392E-3</v>
      </c>
    </row>
    <row r="64" spans="1:18">
      <c r="A64" s="2" t="s">
        <v>62</v>
      </c>
      <c r="B64">
        <v>0.10240000000000002</v>
      </c>
      <c r="D64">
        <f>B64/$B$99</f>
        <v>2.2152514872904274</v>
      </c>
    </row>
    <row r="65" spans="1:4">
      <c r="A65" s="2" t="s">
        <v>63</v>
      </c>
      <c r="B65">
        <v>1.0000000000000286E-4</v>
      </c>
      <c r="D65">
        <f>B65/$B$99</f>
        <v>2.1633315305571196E-3</v>
      </c>
    </row>
    <row r="66" spans="1:4">
      <c r="A66" s="2" t="s">
        <v>64</v>
      </c>
      <c r="B66">
        <v>1.4799999999999994E-2</v>
      </c>
      <c r="D66">
        <f>B66/$B$99</f>
        <v>0.32017306652244443</v>
      </c>
    </row>
    <row r="67" spans="1:4">
      <c r="A67" s="2" t="s">
        <v>65</v>
      </c>
      <c r="B67">
        <v>3.7999999999999978E-3</v>
      </c>
      <c r="D67">
        <f t="shared" ref="D67:D97" si="0">B67/$B$99</f>
        <v>8.2206598161168154E-2</v>
      </c>
    </row>
    <row r="68" spans="1:4">
      <c r="A68" s="2" t="s">
        <v>66</v>
      </c>
      <c r="B68">
        <v>4.3899999999999995E-2</v>
      </c>
      <c r="D68">
        <f t="shared" si="0"/>
        <v>0.94970254191454828</v>
      </c>
    </row>
    <row r="69" spans="1:4">
      <c r="A69" s="2" t="s">
        <v>67</v>
      </c>
      <c r="B69">
        <v>-1.2999999999999956E-3</v>
      </c>
      <c r="D69">
        <f t="shared" si="0"/>
        <v>-2.8123309897241655E-2</v>
      </c>
    </row>
    <row r="70" spans="1:4">
      <c r="A70" s="2" t="s">
        <v>68</v>
      </c>
      <c r="B70">
        <v>0</v>
      </c>
      <c r="D70">
        <f t="shared" si="0"/>
        <v>0</v>
      </c>
    </row>
    <row r="71" spans="1:4">
      <c r="A71" s="2" t="s">
        <v>69</v>
      </c>
      <c r="B71">
        <v>0</v>
      </c>
      <c r="D71">
        <f t="shared" si="0"/>
        <v>0</v>
      </c>
    </row>
    <row r="72" spans="1:4">
      <c r="A72" s="2" t="s">
        <v>70</v>
      </c>
      <c r="B72">
        <v>0</v>
      </c>
      <c r="D72">
        <f t="shared" si="0"/>
        <v>0</v>
      </c>
    </row>
    <row r="73" spans="1:4">
      <c r="A73" s="2" t="s">
        <v>71</v>
      </c>
      <c r="B73">
        <v>0</v>
      </c>
      <c r="D73">
        <f t="shared" si="0"/>
        <v>0</v>
      </c>
    </row>
    <row r="74" spans="1:4">
      <c r="A74" s="2" t="s">
        <v>72</v>
      </c>
      <c r="B74">
        <v>1.1099999999999999E-2</v>
      </c>
      <c r="D74">
        <f t="shared" si="0"/>
        <v>0.24012979989183339</v>
      </c>
    </row>
    <row r="75" spans="1:4">
      <c r="A75" s="2" t="s">
        <v>73</v>
      </c>
      <c r="B75">
        <v>1.7000000000000071E-3</v>
      </c>
      <c r="D75">
        <f t="shared" si="0"/>
        <v>3.6776636019470135E-2</v>
      </c>
    </row>
    <row r="76" spans="1:4">
      <c r="A76" s="2" t="s">
        <v>74</v>
      </c>
      <c r="B76">
        <v>6.0799999999999993E-2</v>
      </c>
      <c r="D76">
        <f t="shared" si="0"/>
        <v>1.3153055705786909</v>
      </c>
    </row>
    <row r="77" spans="1:4">
      <c r="A77" s="2" t="s">
        <v>75</v>
      </c>
      <c r="B77">
        <v>7.0000000000000062E-3</v>
      </c>
      <c r="D77">
        <f t="shared" si="0"/>
        <v>0.15143320713899419</v>
      </c>
    </row>
    <row r="78" spans="1:4">
      <c r="A78" s="2" t="s">
        <v>76</v>
      </c>
      <c r="B78">
        <v>-9.9999999999988987E-5</v>
      </c>
      <c r="D78">
        <f t="shared" si="0"/>
        <v>-2.1633315305568195E-3</v>
      </c>
    </row>
    <row r="79" spans="1:4">
      <c r="A79" s="2" t="s">
        <v>77</v>
      </c>
      <c r="B79">
        <v>1.5000000000000013E-3</v>
      </c>
      <c r="D79">
        <f t="shared" si="0"/>
        <v>3.2449972958355895E-2</v>
      </c>
    </row>
    <row r="80" spans="1:4">
      <c r="A80" s="2" t="s">
        <v>78</v>
      </c>
      <c r="B80">
        <v>-5.0000000000000044E-4</v>
      </c>
      <c r="D80">
        <f t="shared" si="0"/>
        <v>-1.0816657652785298E-2</v>
      </c>
    </row>
    <row r="81" spans="1:4">
      <c r="A81" s="2" t="s">
        <v>79</v>
      </c>
      <c r="B81">
        <v>3.7999999999999978E-3</v>
      </c>
      <c r="D81">
        <f t="shared" si="0"/>
        <v>8.2206598161168154E-2</v>
      </c>
    </row>
    <row r="82" spans="1:4">
      <c r="A82" s="2" t="s">
        <v>80</v>
      </c>
      <c r="B82">
        <v>0</v>
      </c>
      <c r="D82">
        <f t="shared" si="0"/>
        <v>0</v>
      </c>
    </row>
    <row r="83" spans="1:4">
      <c r="A83" s="2" t="s">
        <v>81</v>
      </c>
      <c r="B83">
        <v>0</v>
      </c>
      <c r="D83">
        <f t="shared" si="0"/>
        <v>0</v>
      </c>
    </row>
    <row r="84" spans="1:4">
      <c r="A84" s="2" t="s">
        <v>82</v>
      </c>
      <c r="B84">
        <v>0</v>
      </c>
      <c r="D84">
        <f t="shared" si="0"/>
        <v>0</v>
      </c>
    </row>
    <row r="85" spans="1:4">
      <c r="A85" s="2" t="s">
        <v>83</v>
      </c>
      <c r="B85">
        <v>0</v>
      </c>
      <c r="D85">
        <f t="shared" si="0"/>
        <v>0</v>
      </c>
    </row>
    <row r="86" spans="1:4">
      <c r="A86" s="2" t="s">
        <v>84</v>
      </c>
      <c r="B86">
        <v>1.5000000000000013E-3</v>
      </c>
      <c r="D86">
        <f t="shared" si="0"/>
        <v>3.2449972958355895E-2</v>
      </c>
    </row>
    <row r="87" spans="1:4">
      <c r="A87" s="2" t="s">
        <v>85</v>
      </c>
      <c r="B87">
        <v>1.0899999999999993E-2</v>
      </c>
      <c r="D87">
        <f t="shared" si="0"/>
        <v>0.23580313683071916</v>
      </c>
    </row>
    <row r="88" spans="1:4">
      <c r="A88" s="2" t="s">
        <v>86</v>
      </c>
      <c r="B88">
        <v>1.029999999999999E-2</v>
      </c>
      <c r="D88">
        <f t="shared" si="0"/>
        <v>0.22282314764737673</v>
      </c>
    </row>
    <row r="89" spans="1:4">
      <c r="A89" s="2" t="s">
        <v>87</v>
      </c>
      <c r="B89">
        <v>1.3000000000000095E-3</v>
      </c>
      <c r="D89">
        <f t="shared" si="0"/>
        <v>2.8123309897241957E-2</v>
      </c>
    </row>
    <row r="90" spans="1:4">
      <c r="A90" s="2" t="s">
        <v>88</v>
      </c>
      <c r="B90">
        <v>0</v>
      </c>
      <c r="D90">
        <f t="shared" si="0"/>
        <v>0</v>
      </c>
    </row>
    <row r="91" spans="1:4">
      <c r="A91" s="2" t="s">
        <v>89</v>
      </c>
      <c r="B91">
        <v>1.6999999999999932E-3</v>
      </c>
      <c r="D91">
        <f t="shared" si="0"/>
        <v>3.6776636019469837E-2</v>
      </c>
    </row>
    <row r="92" spans="1:4">
      <c r="A92" s="2" t="s">
        <v>90</v>
      </c>
      <c r="B92">
        <v>-4.0000000000001146E-4</v>
      </c>
      <c r="D92">
        <f t="shared" si="0"/>
        <v>-8.6533261222284785E-3</v>
      </c>
    </row>
    <row r="93" spans="1:4">
      <c r="A93" s="2" t="s">
        <v>91</v>
      </c>
      <c r="B93">
        <v>-6.0000000000000331E-4</v>
      </c>
      <c r="D93">
        <f t="shared" si="0"/>
        <v>-1.2979989183342418E-2</v>
      </c>
    </row>
    <row r="94" spans="1:4">
      <c r="A94" s="2" t="s">
        <v>92</v>
      </c>
      <c r="D94">
        <f t="shared" si="0"/>
        <v>0</v>
      </c>
    </row>
    <row r="95" spans="1:4">
      <c r="A95" s="2" t="s">
        <v>93</v>
      </c>
      <c r="D95">
        <f t="shared" si="0"/>
        <v>0</v>
      </c>
    </row>
    <row r="96" spans="1:4">
      <c r="A96" s="2" t="s">
        <v>94</v>
      </c>
      <c r="D96">
        <f t="shared" si="0"/>
        <v>0</v>
      </c>
    </row>
    <row r="97" spans="1:4">
      <c r="A97" s="2" t="s">
        <v>95</v>
      </c>
      <c r="D97">
        <f t="shared" si="0"/>
        <v>0</v>
      </c>
    </row>
    <row r="99" spans="1:4">
      <c r="A99" s="5" t="s">
        <v>158</v>
      </c>
      <c r="B99">
        <f>AVERAGE(B68,B56,B44,B32)</f>
        <v>4.6225000000000002E-2</v>
      </c>
    </row>
    <row r="100" spans="1:4">
      <c r="B100">
        <f>_xlfn.STDEV.P(B68,B56,B44,B32)</f>
        <v>1.6678953804120957E-3</v>
      </c>
    </row>
    <row r="101" spans="1:4">
      <c r="B101">
        <f>B100/B99</f>
        <v>3.6082106661159449E-2</v>
      </c>
    </row>
  </sheetData>
  <phoneticPr fontId="3" type="noConversion"/>
  <conditionalFormatting sqref="B2:B93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ajevy</dc:creator>
  <cp:lastModifiedBy>ajevy</cp:lastModifiedBy>
  <dcterms:created xsi:type="dcterms:W3CDTF">2023-09-26T12:39:22Z</dcterms:created>
  <dcterms:modified xsi:type="dcterms:W3CDTF">2024-08-30T16:10:09Z</dcterms:modified>
</cp:coreProperties>
</file>