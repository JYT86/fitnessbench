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15219B30-1915-4552-93E1-3135CA725F7C}" xr6:coauthVersionLast="47" xr6:coauthVersionMax="47" xr10:uidLastSave="{00000000-0000-0000-0000-000000000000}"/>
  <bookViews>
    <workbookView xWindow="-120" yWindow="-120" windowWidth="38640" windowHeight="21240" xr2:uid="{C6DE1789-E595-48FD-AFAA-D0E44260F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" i="1" l="1"/>
  <c r="B99" i="1"/>
  <c r="D3" i="1" s="1"/>
  <c r="B101" i="1" l="1"/>
  <c r="D2" i="1"/>
  <c r="D92" i="1"/>
  <c r="D90" i="1"/>
  <c r="D88" i="1"/>
  <c r="D86" i="1"/>
  <c r="D84" i="1"/>
  <c r="D82" i="1"/>
  <c r="D80" i="1"/>
  <c r="D78" i="1"/>
  <c r="D76" i="1"/>
  <c r="D74" i="1"/>
  <c r="D72" i="1"/>
  <c r="D70" i="1"/>
  <c r="D68" i="1"/>
  <c r="D66" i="1"/>
  <c r="D64" i="1"/>
  <c r="D62" i="1"/>
  <c r="D60" i="1"/>
  <c r="D58" i="1"/>
  <c r="D56" i="1"/>
  <c r="D54" i="1"/>
  <c r="D52" i="1"/>
  <c r="D50" i="1"/>
  <c r="D48" i="1"/>
  <c r="D46" i="1"/>
  <c r="D44" i="1"/>
  <c r="D42" i="1"/>
  <c r="D40" i="1"/>
  <c r="D38" i="1"/>
  <c r="D36" i="1"/>
  <c r="D34" i="1"/>
  <c r="D32" i="1"/>
  <c r="D30" i="1"/>
  <c r="D28" i="1"/>
  <c r="D26" i="1"/>
  <c r="D24" i="1"/>
  <c r="D22" i="1"/>
  <c r="D20" i="1"/>
  <c r="D18" i="1"/>
  <c r="D16" i="1"/>
  <c r="D14" i="1"/>
  <c r="D12" i="1"/>
  <c r="D10" i="1"/>
  <c r="D8" i="1"/>
  <c r="D6" i="1"/>
  <c r="D4" i="1"/>
  <c r="D93" i="1"/>
  <c r="D91" i="1"/>
  <c r="D89" i="1"/>
  <c r="D87" i="1"/>
  <c r="D85" i="1"/>
  <c r="D83" i="1"/>
  <c r="D81" i="1"/>
  <c r="D79" i="1"/>
  <c r="D77" i="1"/>
  <c r="D75" i="1"/>
  <c r="D73" i="1"/>
  <c r="D71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5" i="1"/>
  <c r="D33" i="1"/>
  <c r="D31" i="1"/>
  <c r="D29" i="1"/>
  <c r="D27" i="1"/>
  <c r="D25" i="1"/>
  <c r="D23" i="1"/>
  <c r="D21" i="1"/>
  <c r="D19" i="1"/>
  <c r="D17" i="1"/>
  <c r="D15" i="1"/>
  <c r="D13" i="1"/>
  <c r="D11" i="1"/>
  <c r="D9" i="1"/>
  <c r="D7" i="1"/>
  <c r="D5" i="1"/>
</calcChain>
</file>

<file path=xl/sharedStrings.xml><?xml version="1.0" encoding="utf-8"?>
<sst xmlns="http://schemas.openxmlformats.org/spreadsheetml/2006/main" count="225" uniqueCount="162">
  <si>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</si>
  <si>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</si>
  <si>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</si>
  <si>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</si>
  <si>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</si>
  <si>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</si>
  <si>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</si>
  <si>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</si>
  <si>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</si>
  <si>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</si>
  <si>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</si>
  <si>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</si>
  <si>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</si>
  <si>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</si>
  <si>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</si>
  <si>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</si>
  <si>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</si>
  <si>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</si>
  <si>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</si>
  <si>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</si>
  <si>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</si>
  <si>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</si>
  <si>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</si>
  <si>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</si>
  <si>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</si>
  <si>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</si>
  <si>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</si>
  <si>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</si>
  <si>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</si>
  <si>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</si>
  <si>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</si>
  <si>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</si>
  <si>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</si>
  <si>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</si>
  <si>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</si>
  <si>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</si>
  <si>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</si>
  <si>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</si>
  <si>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</si>
  <si>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</si>
  <si>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</si>
  <si>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</si>
  <si>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</si>
  <si>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</si>
  <si>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</si>
  <si>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</si>
  <si>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</si>
  <si>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</si>
  <si>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</si>
  <si>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</si>
  <si>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</si>
  <si>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</si>
  <si>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</si>
  <si>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</si>
  <si>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</si>
  <si>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</si>
  <si>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</si>
  <si>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</si>
  <si>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</si>
  <si>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</si>
  <si>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</si>
  <si>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</si>
  <si>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</si>
  <si>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</si>
  <si>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</si>
  <si>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</si>
  <si>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</si>
  <si>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</si>
  <si>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</si>
  <si>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</si>
  <si>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</si>
  <si>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</si>
  <si>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</si>
  <si>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</si>
  <si>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</si>
  <si>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</si>
  <si>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</si>
  <si>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</si>
  <si>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</si>
  <si>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</si>
  <si>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</si>
  <si>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</si>
  <si>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</si>
  <si>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</si>
  <si>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</si>
  <si>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</si>
  <si>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</si>
  <si>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</si>
  <si>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</si>
  <si>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</si>
  <si>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</si>
  <si>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</si>
  <si>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</si>
  <si>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</si>
  <si>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</si>
  <si>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</si>
  <si>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wt MW</t>
  </si>
  <si>
    <t>Absorpition value at 5min-0min</t>
  </si>
  <si>
    <t>Value in column B - wild type reactivity</t>
  </si>
  <si>
    <t>Plate Scheme</t>
  </si>
  <si>
    <t>A</t>
  </si>
  <si>
    <t>Design 1</t>
  </si>
  <si>
    <t>Design 9</t>
  </si>
  <si>
    <t>Design 17</t>
  </si>
  <si>
    <t>Design 25</t>
  </si>
  <si>
    <t>Design 33</t>
  </si>
  <si>
    <t xml:space="preserve">Design 41 </t>
  </si>
  <si>
    <t>Design 48</t>
  </si>
  <si>
    <t>empty</t>
  </si>
  <si>
    <t>B</t>
  </si>
  <si>
    <t>Design 2</t>
  </si>
  <si>
    <t>Design 10</t>
  </si>
  <si>
    <t>Design 18</t>
  </si>
  <si>
    <t>Design 26</t>
  </si>
  <si>
    <t>Design 34</t>
  </si>
  <si>
    <t>Design 42</t>
  </si>
  <si>
    <t>Design 50</t>
  </si>
  <si>
    <t>C</t>
  </si>
  <si>
    <t>Design 3</t>
  </si>
  <si>
    <t>Design 11</t>
  </si>
  <si>
    <t>Design 19</t>
  </si>
  <si>
    <t>Design 27</t>
  </si>
  <si>
    <t>Design 35</t>
  </si>
  <si>
    <t>Design 43</t>
  </si>
  <si>
    <t>wt</t>
  </si>
  <si>
    <t>D</t>
  </si>
  <si>
    <t>Design 4</t>
  </si>
  <si>
    <t>Design 12</t>
  </si>
  <si>
    <t>Design 20</t>
  </si>
  <si>
    <t>Design 28</t>
  </si>
  <si>
    <t>Design 36</t>
  </si>
  <si>
    <t>Design 44</t>
  </si>
  <si>
    <t>E</t>
  </si>
  <si>
    <t>Design 5</t>
  </si>
  <si>
    <t>Design 13</t>
  </si>
  <si>
    <t>Design 21</t>
  </si>
  <si>
    <t>Design 29</t>
  </si>
  <si>
    <t>Design 37</t>
  </si>
  <si>
    <t>Design 45</t>
  </si>
  <si>
    <t>F</t>
  </si>
  <si>
    <t>Design 6</t>
  </si>
  <si>
    <t>Design 14</t>
  </si>
  <si>
    <t>Design 22</t>
  </si>
  <si>
    <t>Design 30</t>
  </si>
  <si>
    <t>Design 38</t>
  </si>
  <si>
    <t>Design 46</t>
  </si>
  <si>
    <t>G</t>
  </si>
  <si>
    <t>Design 7</t>
  </si>
  <si>
    <t>Design 15</t>
  </si>
  <si>
    <t>Design 23</t>
  </si>
  <si>
    <t>Design 31</t>
  </si>
  <si>
    <t>Design 39</t>
  </si>
  <si>
    <t>Design 47</t>
  </si>
  <si>
    <t>LV</t>
  </si>
  <si>
    <t>H</t>
  </si>
  <si>
    <t>Design 8</t>
  </si>
  <si>
    <t>Design 16</t>
  </si>
  <si>
    <t>Design 24</t>
  </si>
  <si>
    <t>Design 32</t>
  </si>
  <si>
    <t>Design 40</t>
  </si>
  <si>
    <t>Design</t>
  </si>
  <si>
    <t>Comparison to wild type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</si>
</sst>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D8BF-3321-463F-8E6A-2308A1CA4BCF}">
  <dimension ref="A1:T101"/>
  <sheetViews>
    <sheetView tabSelected="1" workbookViewId="0">
      <selection activeCell="J21" sqref="J21"/>
    </sheetView>
  </sheetViews>
  <sheetFormatPr defaultRowHeight="15" x14ac:dyDescent="0.25"/>
  <cols>
    <col min="2" max="2" width="29.42578125" bestFit="1" customWidth="1"/>
    <col min="4" max="4" width="19.42578125" customWidth="1"/>
    <col min="20" max="20" width="17.7109375" customWidth="1"/>
  </cols>
  <sheetData>
    <row r="1" spans="1:20" ht="30" x14ac:dyDescent="0.25">
      <c r="B1" s="3" t="s">
        <v>97</v>
      </c>
      <c r="D1" s="4" t="s">
        <v>98</v>
      </c>
      <c r="S1" s="4" t="s">
        <v>160</v>
      </c>
      <c r="T1" s="4" t="s">
        <v>161</v>
      </c>
    </row>
    <row r="2" spans="1:20" x14ac:dyDescent="0.25">
      <c r="A2" s="1" t="s">
        <v>0</v>
      </c>
      <c r="B2">
        <v>0.40629999999999999</v>
      </c>
      <c r="D2" s="2">
        <f>B2/$B$99</f>
        <v>42.544502617801051</v>
      </c>
      <c r="G2" s="3" t="s">
        <v>99</v>
      </c>
      <c r="P2" s="2"/>
      <c r="Q2" s="2"/>
      <c r="R2" s="2"/>
      <c r="S2" t="s">
        <v>101</v>
      </c>
      <c r="T2" s="2">
        <v>42.544502617801051</v>
      </c>
    </row>
    <row r="3" spans="1:20" x14ac:dyDescent="0.25">
      <c r="A3" s="1" t="s">
        <v>1</v>
      </c>
      <c r="B3">
        <v>4.2000000000000023E-3</v>
      </c>
      <c r="D3" s="2">
        <f t="shared" ref="D3:D66" si="0">B3/$B$99</f>
        <v>0.43979057591623066</v>
      </c>
      <c r="H3" s="3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2"/>
      <c r="Q3" s="2"/>
      <c r="R3" s="2"/>
      <c r="S3" t="s">
        <v>110</v>
      </c>
      <c r="T3" s="2">
        <v>9.2879581151832475</v>
      </c>
    </row>
    <row r="4" spans="1:20" x14ac:dyDescent="0.25">
      <c r="A4" s="1" t="s">
        <v>2</v>
      </c>
      <c r="B4">
        <v>0.31420000000000003</v>
      </c>
      <c r="D4" s="2">
        <f t="shared" si="0"/>
        <v>32.900523560209429</v>
      </c>
      <c r="G4" s="3" t="s">
        <v>100</v>
      </c>
      <c r="H4" t="s">
        <v>101</v>
      </c>
      <c r="I4" t="s">
        <v>102</v>
      </c>
      <c r="J4" t="s">
        <v>103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s="2"/>
      <c r="Q4" s="2"/>
      <c r="R4" s="2"/>
      <c r="S4" t="s">
        <v>118</v>
      </c>
      <c r="T4" s="2">
        <v>145.9476439790576</v>
      </c>
    </row>
    <row r="5" spans="1:20" x14ac:dyDescent="0.25">
      <c r="A5" s="1" t="s">
        <v>3</v>
      </c>
      <c r="B5">
        <v>7.1999999999999981E-3</v>
      </c>
      <c r="D5" s="2">
        <f t="shared" si="0"/>
        <v>0.75392670157068042</v>
      </c>
      <c r="G5" s="3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t="s">
        <v>116</v>
      </c>
      <c r="O5" t="s">
        <v>108</v>
      </c>
      <c r="P5" s="2"/>
      <c r="Q5" s="2"/>
      <c r="R5" s="2"/>
      <c r="S5" t="s">
        <v>126</v>
      </c>
      <c r="T5" s="2">
        <v>153.49738219895289</v>
      </c>
    </row>
    <row r="6" spans="1:20" x14ac:dyDescent="0.25">
      <c r="A6" s="1" t="s">
        <v>4</v>
      </c>
      <c r="B6">
        <v>-2.9999999999999472E-4</v>
      </c>
      <c r="D6" s="2">
        <f t="shared" si="0"/>
        <v>-3.1413612565444476E-2</v>
      </c>
      <c r="G6" s="3" t="s">
        <v>117</v>
      </c>
      <c r="H6" t="s">
        <v>118</v>
      </c>
      <c r="I6" t="s">
        <v>119</v>
      </c>
      <c r="J6" t="s">
        <v>120</v>
      </c>
      <c r="K6" t="s">
        <v>121</v>
      </c>
      <c r="L6" t="s">
        <v>122</v>
      </c>
      <c r="M6" t="s">
        <v>123</v>
      </c>
      <c r="N6" t="s">
        <v>124</v>
      </c>
      <c r="O6" t="s">
        <v>108</v>
      </c>
      <c r="P6" s="2"/>
      <c r="Q6" s="2"/>
      <c r="R6" s="2"/>
      <c r="S6" t="s">
        <v>133</v>
      </c>
      <c r="T6" s="2">
        <v>1.6858638743455494</v>
      </c>
    </row>
    <row r="7" spans="1:20" x14ac:dyDescent="0.25">
      <c r="A7" s="1" t="s">
        <v>5</v>
      </c>
      <c r="B7">
        <v>9.6799999999999997E-2</v>
      </c>
      <c r="D7" s="2">
        <f t="shared" si="0"/>
        <v>10.136125654450263</v>
      </c>
      <c r="G7" s="3" t="s">
        <v>125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124</v>
      </c>
      <c r="O7" t="s">
        <v>108</v>
      </c>
      <c r="P7" s="2"/>
      <c r="Q7" s="2"/>
      <c r="R7" s="2"/>
      <c r="S7" t="s">
        <v>140</v>
      </c>
      <c r="T7" s="2">
        <v>3.4345549738219892</v>
      </c>
    </row>
    <row r="8" spans="1:20" x14ac:dyDescent="0.25">
      <c r="A8" s="1" t="s">
        <v>6</v>
      </c>
      <c r="B8">
        <v>4.2000000000000023E-3</v>
      </c>
      <c r="D8" s="2">
        <f t="shared" si="0"/>
        <v>0.43979057591623066</v>
      </c>
      <c r="G8" s="3" t="s">
        <v>132</v>
      </c>
      <c r="H8" t="s">
        <v>133</v>
      </c>
      <c r="I8" t="s">
        <v>134</v>
      </c>
      <c r="J8" t="s">
        <v>135</v>
      </c>
      <c r="K8" t="s">
        <v>136</v>
      </c>
      <c r="L8" t="s">
        <v>137</v>
      </c>
      <c r="M8" t="s">
        <v>138</v>
      </c>
      <c r="N8" t="s">
        <v>124</v>
      </c>
      <c r="O8" t="s">
        <v>108</v>
      </c>
      <c r="P8" s="2"/>
      <c r="Q8" s="2"/>
      <c r="R8" s="2"/>
      <c r="S8" t="s">
        <v>147</v>
      </c>
      <c r="T8" s="2">
        <v>11.413612565445026</v>
      </c>
    </row>
    <row r="9" spans="1:20" x14ac:dyDescent="0.25">
      <c r="A9" s="1" t="s">
        <v>7</v>
      </c>
      <c r="B9">
        <v>2.5999999999999981E-3</v>
      </c>
      <c r="D9" s="2">
        <f t="shared" si="0"/>
        <v>0.2722513089005234</v>
      </c>
      <c r="G9" s="3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124</v>
      </c>
      <c r="O9" t="s">
        <v>108</v>
      </c>
      <c r="P9" s="2"/>
      <c r="Q9" s="2"/>
      <c r="R9" s="2"/>
      <c r="S9" t="s">
        <v>155</v>
      </c>
      <c r="T9" s="2">
        <v>10.356020942408378</v>
      </c>
    </row>
    <row r="10" spans="1:20" x14ac:dyDescent="0.25">
      <c r="A10" s="1" t="s">
        <v>8</v>
      </c>
      <c r="B10">
        <v>0</v>
      </c>
      <c r="D10" s="2">
        <f t="shared" si="0"/>
        <v>0</v>
      </c>
      <c r="G10" s="3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108</v>
      </c>
      <c r="P10" s="2"/>
      <c r="Q10" s="2"/>
      <c r="R10" s="2"/>
      <c r="S10" t="s">
        <v>102</v>
      </c>
      <c r="T10" s="2">
        <v>0.43979057591623066</v>
      </c>
    </row>
    <row r="11" spans="1:20" x14ac:dyDescent="0.25">
      <c r="A11" s="1" t="s">
        <v>9</v>
      </c>
      <c r="B11">
        <v>0</v>
      </c>
      <c r="D11" s="2">
        <f t="shared" si="0"/>
        <v>0</v>
      </c>
      <c r="G11" s="3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107</v>
      </c>
      <c r="N11" t="s">
        <v>153</v>
      </c>
      <c r="O11" t="s">
        <v>108</v>
      </c>
      <c r="S11" t="s">
        <v>111</v>
      </c>
      <c r="T11" s="2">
        <v>80.471204188481678</v>
      </c>
    </row>
    <row r="12" spans="1:20" x14ac:dyDescent="0.25">
      <c r="A12" s="1" t="s">
        <v>10</v>
      </c>
      <c r="B12">
        <v>0</v>
      </c>
      <c r="D12" s="2">
        <f t="shared" si="0"/>
        <v>0</v>
      </c>
      <c r="S12" t="s">
        <v>119</v>
      </c>
      <c r="T12" s="2">
        <v>154.19895287958116</v>
      </c>
    </row>
    <row r="13" spans="1:20" x14ac:dyDescent="0.25">
      <c r="A13" s="1" t="s">
        <v>11</v>
      </c>
      <c r="B13">
        <v>0</v>
      </c>
      <c r="D13" s="2">
        <f t="shared" si="0"/>
        <v>0</v>
      </c>
      <c r="S13" t="s">
        <v>127</v>
      </c>
      <c r="T13" s="2">
        <v>0.73298429319371727</v>
      </c>
    </row>
    <row r="14" spans="1:20" x14ac:dyDescent="0.25">
      <c r="A14" s="1" t="s">
        <v>12</v>
      </c>
      <c r="B14">
        <v>8.8700000000000001E-2</v>
      </c>
      <c r="D14" s="2">
        <f t="shared" si="0"/>
        <v>9.2879581151832475</v>
      </c>
      <c r="S14" t="s">
        <v>134</v>
      </c>
      <c r="T14" s="2">
        <v>5.2356020942408425E-2</v>
      </c>
    </row>
    <row r="15" spans="1:20" x14ac:dyDescent="0.25">
      <c r="A15" s="1" t="s">
        <v>13</v>
      </c>
      <c r="B15">
        <v>0.76849999999999996</v>
      </c>
      <c r="D15" s="2">
        <f t="shared" si="0"/>
        <v>80.471204188481678</v>
      </c>
      <c r="S15" t="s">
        <v>141</v>
      </c>
      <c r="T15" s="2">
        <v>2.8691099476439788</v>
      </c>
    </row>
    <row r="16" spans="1:20" x14ac:dyDescent="0.25">
      <c r="A16" s="1" t="s">
        <v>14</v>
      </c>
      <c r="B16">
        <v>1.3565</v>
      </c>
      <c r="D16" s="2">
        <f t="shared" si="0"/>
        <v>142.04188481675394</v>
      </c>
      <c r="S16" t="s">
        <v>148</v>
      </c>
      <c r="T16" s="2">
        <v>2.4293193717277486</v>
      </c>
    </row>
    <row r="17" spans="1:20" x14ac:dyDescent="0.25">
      <c r="A17" s="1" t="s">
        <v>15</v>
      </c>
      <c r="B17">
        <v>0.90890000000000004</v>
      </c>
      <c r="D17" s="2">
        <f t="shared" si="0"/>
        <v>95.172774869109958</v>
      </c>
      <c r="S17" t="s">
        <v>156</v>
      </c>
      <c r="T17" s="2">
        <v>143.39267015706807</v>
      </c>
    </row>
    <row r="18" spans="1:20" x14ac:dyDescent="0.25">
      <c r="A18" s="1" t="s">
        <v>16</v>
      </c>
      <c r="B18">
        <v>1.8532999999999999</v>
      </c>
      <c r="D18" s="2">
        <f t="shared" si="0"/>
        <v>194.06282722513089</v>
      </c>
      <c r="S18" t="s">
        <v>103</v>
      </c>
      <c r="T18" s="2">
        <v>32.900523560209429</v>
      </c>
    </row>
    <row r="19" spans="1:20" x14ac:dyDescent="0.25">
      <c r="A19" s="1" t="s">
        <v>17</v>
      </c>
      <c r="B19">
        <v>0.27849999999999997</v>
      </c>
      <c r="D19" s="2">
        <f t="shared" si="0"/>
        <v>29.162303664921463</v>
      </c>
      <c r="S19" t="s">
        <v>112</v>
      </c>
      <c r="T19" s="2">
        <v>142.04188481675394</v>
      </c>
    </row>
    <row r="20" spans="1:20" x14ac:dyDescent="0.25">
      <c r="A20" s="1" t="s">
        <v>18</v>
      </c>
      <c r="B20">
        <v>1.3348</v>
      </c>
      <c r="D20" s="2">
        <f t="shared" si="0"/>
        <v>139.7696335078534</v>
      </c>
      <c r="S20" t="s">
        <v>120</v>
      </c>
      <c r="T20" s="2">
        <v>70.376963350785331</v>
      </c>
    </row>
    <row r="21" spans="1:20" x14ac:dyDescent="0.25">
      <c r="A21" s="1" t="s">
        <v>19</v>
      </c>
      <c r="B21">
        <v>9.9999999999995925E-5</v>
      </c>
      <c r="D21" s="2">
        <f t="shared" si="0"/>
        <v>1.0471204188481249E-2</v>
      </c>
      <c r="S21" t="s">
        <v>128</v>
      </c>
      <c r="T21" s="2">
        <v>42.72251308900524</v>
      </c>
    </row>
    <row r="22" spans="1:20" x14ac:dyDescent="0.25">
      <c r="A22" s="1" t="s">
        <v>20</v>
      </c>
      <c r="B22">
        <v>0</v>
      </c>
      <c r="D22" s="2">
        <f t="shared" si="0"/>
        <v>0</v>
      </c>
      <c r="S22" t="s">
        <v>135</v>
      </c>
      <c r="T22" s="2">
        <v>42.743455497382193</v>
      </c>
    </row>
    <row r="23" spans="1:20" x14ac:dyDescent="0.25">
      <c r="A23" s="1" t="s">
        <v>21</v>
      </c>
      <c r="B23">
        <v>0</v>
      </c>
      <c r="D23" s="2">
        <f t="shared" si="0"/>
        <v>0</v>
      </c>
      <c r="S23" t="s">
        <v>142</v>
      </c>
      <c r="T23" s="2">
        <v>0.78534031413612571</v>
      </c>
    </row>
    <row r="24" spans="1:20" x14ac:dyDescent="0.25">
      <c r="A24" s="1" t="s">
        <v>22</v>
      </c>
      <c r="B24">
        <v>0</v>
      </c>
      <c r="D24" s="2">
        <f t="shared" si="0"/>
        <v>0</v>
      </c>
      <c r="S24" t="s">
        <v>149</v>
      </c>
      <c r="T24" s="2">
        <v>141.41361256544505</v>
      </c>
    </row>
    <row r="25" spans="1:20" x14ac:dyDescent="0.25">
      <c r="A25" s="1" t="s">
        <v>23</v>
      </c>
      <c r="B25">
        <v>0</v>
      </c>
      <c r="D25" s="2">
        <f t="shared" si="0"/>
        <v>0</v>
      </c>
      <c r="S25" t="s">
        <v>157</v>
      </c>
      <c r="T25" s="2">
        <v>71.392670157068068</v>
      </c>
    </row>
    <row r="26" spans="1:20" x14ac:dyDescent="0.25">
      <c r="A26" s="1" t="s">
        <v>24</v>
      </c>
      <c r="B26">
        <v>1.3938000000000001</v>
      </c>
      <c r="D26" s="2">
        <f t="shared" si="0"/>
        <v>145.9476439790576</v>
      </c>
      <c r="S26" t="s">
        <v>104</v>
      </c>
      <c r="T26" s="2">
        <v>0.75392670157068042</v>
      </c>
    </row>
    <row r="27" spans="1:20" x14ac:dyDescent="0.25">
      <c r="A27" s="1" t="s">
        <v>25</v>
      </c>
      <c r="B27">
        <v>1.4725999999999999</v>
      </c>
      <c r="D27" s="2">
        <f t="shared" si="0"/>
        <v>154.19895287958116</v>
      </c>
      <c r="S27" t="s">
        <v>113</v>
      </c>
      <c r="T27" s="2">
        <v>95.172774869109958</v>
      </c>
    </row>
    <row r="28" spans="1:20" x14ac:dyDescent="0.25">
      <c r="A28" s="1" t="s">
        <v>26</v>
      </c>
      <c r="B28">
        <v>0.67209999999999992</v>
      </c>
      <c r="D28" s="2">
        <f t="shared" si="0"/>
        <v>70.376963350785331</v>
      </c>
      <c r="S28" t="s">
        <v>121</v>
      </c>
      <c r="T28" s="2">
        <v>73.44502617801048</v>
      </c>
    </row>
    <row r="29" spans="1:20" x14ac:dyDescent="0.25">
      <c r="A29" s="1" t="s">
        <v>27</v>
      </c>
      <c r="B29">
        <v>0.70140000000000002</v>
      </c>
      <c r="D29" s="2">
        <f t="shared" si="0"/>
        <v>73.44502617801048</v>
      </c>
      <c r="S29" t="s">
        <v>129</v>
      </c>
      <c r="T29" s="2">
        <v>26.209424083769633</v>
      </c>
    </row>
    <row r="30" spans="1:20" x14ac:dyDescent="0.25">
      <c r="A30" s="1" t="s">
        <v>28</v>
      </c>
      <c r="B30">
        <v>1.5899999999999991E-2</v>
      </c>
      <c r="D30" s="2">
        <f t="shared" si="0"/>
        <v>1.6649214659685856</v>
      </c>
      <c r="S30" t="s">
        <v>136</v>
      </c>
      <c r="T30" s="2">
        <v>0.10471204188481685</v>
      </c>
    </row>
    <row r="31" spans="1:20" x14ac:dyDescent="0.25">
      <c r="A31" s="1" t="s">
        <v>29</v>
      </c>
      <c r="B31">
        <v>0.53920000000000001</v>
      </c>
      <c r="D31" s="2">
        <f t="shared" si="0"/>
        <v>56.460732984293202</v>
      </c>
      <c r="S31" t="s">
        <v>143</v>
      </c>
      <c r="T31" s="2">
        <v>0.11518324607329811</v>
      </c>
    </row>
    <row r="32" spans="1:20" x14ac:dyDescent="0.25">
      <c r="A32" s="1" t="s">
        <v>30</v>
      </c>
      <c r="B32">
        <v>1.3699999999999997E-2</v>
      </c>
      <c r="D32" s="2">
        <f t="shared" si="0"/>
        <v>1.4345549738219894</v>
      </c>
      <c r="S32" t="s">
        <v>150</v>
      </c>
      <c r="T32" s="2">
        <v>0.40837696335078544</v>
      </c>
    </row>
    <row r="33" spans="1:20" x14ac:dyDescent="0.25">
      <c r="A33" s="1" t="s">
        <v>31</v>
      </c>
      <c r="B33">
        <v>-4.0000000000000452E-4</v>
      </c>
      <c r="D33" s="2">
        <f t="shared" si="0"/>
        <v>-4.1884816753927176E-2</v>
      </c>
      <c r="S33" t="s">
        <v>158</v>
      </c>
      <c r="T33" s="2">
        <v>0.98429319371727664</v>
      </c>
    </row>
    <row r="34" spans="1:20" x14ac:dyDescent="0.25">
      <c r="A34" s="1" t="s">
        <v>32</v>
      </c>
      <c r="B34">
        <v>0</v>
      </c>
      <c r="D34" s="2">
        <f t="shared" si="0"/>
        <v>0</v>
      </c>
      <c r="S34" t="s">
        <v>105</v>
      </c>
      <c r="T34" s="2">
        <v>-3.1413612565444476E-2</v>
      </c>
    </row>
    <row r="35" spans="1:20" x14ac:dyDescent="0.25">
      <c r="A35" s="1" t="s">
        <v>33</v>
      </c>
      <c r="B35">
        <v>0</v>
      </c>
      <c r="D35" s="2">
        <f t="shared" si="0"/>
        <v>0</v>
      </c>
      <c r="S35" t="s">
        <v>114</v>
      </c>
      <c r="T35" s="2">
        <v>194.06282722513089</v>
      </c>
    </row>
    <row r="36" spans="1:20" x14ac:dyDescent="0.25">
      <c r="A36" s="1" t="s">
        <v>34</v>
      </c>
      <c r="B36">
        <v>0</v>
      </c>
      <c r="D36" s="2">
        <f t="shared" si="0"/>
        <v>0</v>
      </c>
      <c r="S36" t="s">
        <v>122</v>
      </c>
      <c r="T36" s="2">
        <v>1.6649214659685856</v>
      </c>
    </row>
    <row r="37" spans="1:20" x14ac:dyDescent="0.25">
      <c r="A37" s="1" t="s">
        <v>35</v>
      </c>
      <c r="B37">
        <v>0</v>
      </c>
      <c r="D37" s="2">
        <f t="shared" si="0"/>
        <v>0</v>
      </c>
      <c r="S37" t="s">
        <v>130</v>
      </c>
      <c r="T37" s="2">
        <v>0.89005235602094257</v>
      </c>
    </row>
    <row r="38" spans="1:20" x14ac:dyDescent="0.25">
      <c r="A38" s="1" t="s">
        <v>36</v>
      </c>
      <c r="B38">
        <v>1.4659</v>
      </c>
      <c r="D38" s="2">
        <f t="shared" si="0"/>
        <v>153.49738219895289</v>
      </c>
      <c r="S38" t="s">
        <v>137</v>
      </c>
      <c r="T38" s="2">
        <v>95.015706806282722</v>
      </c>
    </row>
    <row r="39" spans="1:20" x14ac:dyDescent="0.25">
      <c r="A39" s="1" t="s">
        <v>37</v>
      </c>
      <c r="B39">
        <v>6.9999999999999993E-3</v>
      </c>
      <c r="D39" s="2">
        <f t="shared" si="0"/>
        <v>0.73298429319371727</v>
      </c>
      <c r="S39" t="s">
        <v>144</v>
      </c>
      <c r="T39" s="2">
        <v>112.68062827225133</v>
      </c>
    </row>
    <row r="40" spans="1:20" x14ac:dyDescent="0.25">
      <c r="A40" s="1" t="s">
        <v>38</v>
      </c>
      <c r="B40">
        <v>0.40800000000000003</v>
      </c>
      <c r="D40" s="2">
        <f t="shared" si="0"/>
        <v>42.72251308900524</v>
      </c>
      <c r="S40" t="s">
        <v>151</v>
      </c>
      <c r="T40" s="2">
        <v>0</v>
      </c>
    </row>
    <row r="41" spans="1:20" x14ac:dyDescent="0.25">
      <c r="A41" s="1" t="s">
        <v>39</v>
      </c>
      <c r="B41">
        <v>0.25029999999999997</v>
      </c>
      <c r="D41" s="2">
        <f t="shared" si="0"/>
        <v>26.209424083769633</v>
      </c>
      <c r="S41" t="s">
        <v>159</v>
      </c>
      <c r="T41" s="2">
        <v>0</v>
      </c>
    </row>
    <row r="42" spans="1:20" x14ac:dyDescent="0.25">
      <c r="A42" s="1" t="s">
        <v>40</v>
      </c>
      <c r="B42">
        <v>8.5000000000000006E-3</v>
      </c>
      <c r="D42" s="2">
        <f t="shared" si="0"/>
        <v>0.89005235602094257</v>
      </c>
      <c r="S42" t="s">
        <v>106</v>
      </c>
      <c r="T42" s="2">
        <v>10.136125654450263</v>
      </c>
    </row>
    <row r="43" spans="1:20" x14ac:dyDescent="0.25">
      <c r="A43" s="1" t="s">
        <v>41</v>
      </c>
      <c r="B43">
        <v>1.4799999999999994E-2</v>
      </c>
      <c r="D43" s="2">
        <f t="shared" si="0"/>
        <v>1.5497382198952874</v>
      </c>
      <c r="S43" t="s">
        <v>115</v>
      </c>
      <c r="T43" s="2">
        <v>29.162303664921463</v>
      </c>
    </row>
    <row r="44" spans="1:20" x14ac:dyDescent="0.25">
      <c r="A44" s="1" t="s">
        <v>42</v>
      </c>
      <c r="B44">
        <v>8.8000000000000023E-3</v>
      </c>
      <c r="D44" s="2">
        <f t="shared" si="0"/>
        <v>0.92146596858638774</v>
      </c>
      <c r="S44" t="s">
        <v>123</v>
      </c>
      <c r="T44" s="2">
        <v>56.460732984293202</v>
      </c>
    </row>
    <row r="45" spans="1:20" x14ac:dyDescent="0.25">
      <c r="A45" s="1" t="s">
        <v>43</v>
      </c>
      <c r="B45">
        <v>-1.0000000000000286E-4</v>
      </c>
      <c r="D45" s="2">
        <f t="shared" si="0"/>
        <v>-1.0471204188481976E-2</v>
      </c>
      <c r="S45" t="s">
        <v>131</v>
      </c>
      <c r="T45" s="2">
        <v>1.5497382198952874</v>
      </c>
    </row>
    <row r="46" spans="1:20" x14ac:dyDescent="0.25">
      <c r="A46" s="1" t="s">
        <v>44</v>
      </c>
      <c r="B46">
        <v>0</v>
      </c>
      <c r="D46" s="2">
        <f t="shared" si="0"/>
        <v>0</v>
      </c>
      <c r="S46" t="s">
        <v>138</v>
      </c>
      <c r="T46" s="2">
        <v>114.09424083769633</v>
      </c>
    </row>
    <row r="47" spans="1:20" x14ac:dyDescent="0.25">
      <c r="A47" s="1" t="s">
        <v>45</v>
      </c>
      <c r="B47">
        <v>0</v>
      </c>
      <c r="D47" s="2">
        <f t="shared" si="0"/>
        <v>0</v>
      </c>
      <c r="S47" t="s">
        <v>145</v>
      </c>
      <c r="T47" s="2">
        <v>29.38219895287958</v>
      </c>
    </row>
    <row r="48" spans="1:20" x14ac:dyDescent="0.25">
      <c r="A48" s="1" t="s">
        <v>46</v>
      </c>
      <c r="B48">
        <v>0</v>
      </c>
      <c r="D48" s="2">
        <f t="shared" si="0"/>
        <v>0</v>
      </c>
      <c r="S48" t="s">
        <v>152</v>
      </c>
      <c r="T48" s="2">
        <v>101.57068062827226</v>
      </c>
    </row>
    <row r="49" spans="1:20" x14ac:dyDescent="0.25">
      <c r="A49" s="1" t="s">
        <v>47</v>
      </c>
      <c r="B49">
        <v>0</v>
      </c>
      <c r="D49" s="2">
        <f t="shared" si="0"/>
        <v>0</v>
      </c>
      <c r="S49" t="s">
        <v>107</v>
      </c>
      <c r="T49" s="2">
        <v>5.9371727748691105</v>
      </c>
    </row>
    <row r="50" spans="1:20" x14ac:dyDescent="0.25">
      <c r="A50" s="1" t="s">
        <v>48</v>
      </c>
      <c r="B50">
        <v>1.6099999999999996E-2</v>
      </c>
      <c r="D50" s="2">
        <f t="shared" si="0"/>
        <v>1.6858638743455494</v>
      </c>
      <c r="S50" t="s">
        <v>107</v>
      </c>
      <c r="T50" s="2">
        <v>0.43979057591623066</v>
      </c>
    </row>
    <row r="51" spans="1:20" x14ac:dyDescent="0.25">
      <c r="A51" s="1" t="s">
        <v>49</v>
      </c>
      <c r="B51">
        <v>5.0000000000000044E-4</v>
      </c>
      <c r="D51" s="2">
        <f t="shared" si="0"/>
        <v>5.2356020942408425E-2</v>
      </c>
      <c r="S51" t="s">
        <v>116</v>
      </c>
      <c r="T51" s="2">
        <v>139.7696335078534</v>
      </c>
    </row>
    <row r="52" spans="1:20" x14ac:dyDescent="0.25">
      <c r="A52" s="1" t="s">
        <v>50</v>
      </c>
      <c r="B52">
        <v>0.40819999999999995</v>
      </c>
      <c r="D52" s="2">
        <f t="shared" si="0"/>
        <v>42.743455497382193</v>
      </c>
      <c r="S52" t="s">
        <v>124</v>
      </c>
      <c r="T52" s="2">
        <v>1.4345549738219894</v>
      </c>
    </row>
    <row r="53" spans="1:20" x14ac:dyDescent="0.25">
      <c r="A53" s="1" t="s">
        <v>51</v>
      </c>
      <c r="B53">
        <v>1.0000000000000009E-3</v>
      </c>
      <c r="D53" s="2">
        <f t="shared" si="0"/>
        <v>0.10471204188481685</v>
      </c>
      <c r="T53" s="2"/>
    </row>
    <row r="54" spans="1:20" x14ac:dyDescent="0.25">
      <c r="A54" s="1" t="s">
        <v>52</v>
      </c>
      <c r="B54">
        <v>0.90739999999999998</v>
      </c>
      <c r="D54" s="2">
        <f t="shared" si="0"/>
        <v>95.015706806282722</v>
      </c>
      <c r="T54" s="2"/>
    </row>
    <row r="55" spans="1:20" x14ac:dyDescent="0.25">
      <c r="A55" s="1" t="s">
        <v>53</v>
      </c>
      <c r="B55">
        <v>1.0895999999999999</v>
      </c>
      <c r="D55" s="2">
        <f t="shared" si="0"/>
        <v>114.09424083769633</v>
      </c>
      <c r="T55" s="2"/>
    </row>
    <row r="56" spans="1:20" x14ac:dyDescent="0.25">
      <c r="A56" s="1" t="s">
        <v>54</v>
      </c>
      <c r="B56">
        <v>7.8999999999999973E-3</v>
      </c>
      <c r="D56" s="2">
        <f t="shared" si="0"/>
        <v>0.82722513089005212</v>
      </c>
      <c r="T56" s="2"/>
    </row>
    <row r="57" spans="1:20" x14ac:dyDescent="0.25">
      <c r="A57" s="1" t="s">
        <v>55</v>
      </c>
      <c r="B57">
        <v>-1.9999999999999879E-4</v>
      </c>
      <c r="D57" s="2">
        <f t="shared" si="0"/>
        <v>-2.0942408376963224E-2</v>
      </c>
      <c r="T57" s="2"/>
    </row>
    <row r="58" spans="1:20" x14ac:dyDescent="0.25">
      <c r="A58" s="1" t="s">
        <v>56</v>
      </c>
      <c r="B58">
        <v>0</v>
      </c>
      <c r="D58" s="2">
        <f t="shared" si="0"/>
        <v>0</v>
      </c>
    </row>
    <row r="59" spans="1:20" x14ac:dyDescent="0.25">
      <c r="A59" s="1" t="s">
        <v>57</v>
      </c>
      <c r="B59">
        <v>0</v>
      </c>
      <c r="D59" s="2">
        <f t="shared" si="0"/>
        <v>0</v>
      </c>
    </row>
    <row r="60" spans="1:20" x14ac:dyDescent="0.25">
      <c r="A60" s="1" t="s">
        <v>58</v>
      </c>
      <c r="B60">
        <v>0</v>
      </c>
      <c r="D60" s="2">
        <f t="shared" si="0"/>
        <v>0</v>
      </c>
    </row>
    <row r="61" spans="1:20" x14ac:dyDescent="0.25">
      <c r="A61" s="1" t="s">
        <v>59</v>
      </c>
      <c r="B61">
        <v>0</v>
      </c>
      <c r="D61" s="2">
        <f t="shared" si="0"/>
        <v>0</v>
      </c>
    </row>
    <row r="62" spans="1:20" x14ac:dyDescent="0.25">
      <c r="A62" s="1" t="s">
        <v>60</v>
      </c>
      <c r="B62">
        <v>3.2799999999999996E-2</v>
      </c>
      <c r="D62" s="2">
        <f t="shared" si="0"/>
        <v>3.4345549738219892</v>
      </c>
    </row>
    <row r="63" spans="1:20" x14ac:dyDescent="0.25">
      <c r="A63" s="1" t="s">
        <v>61</v>
      </c>
      <c r="B63">
        <v>2.7399999999999994E-2</v>
      </c>
      <c r="D63" s="2">
        <f t="shared" si="0"/>
        <v>2.8691099476439788</v>
      </c>
    </row>
    <row r="64" spans="1:20" x14ac:dyDescent="0.25">
      <c r="A64" s="1" t="s">
        <v>62</v>
      </c>
      <c r="B64">
        <v>7.4999999999999997E-3</v>
      </c>
      <c r="D64" s="2">
        <f t="shared" si="0"/>
        <v>0.78534031413612571</v>
      </c>
    </row>
    <row r="65" spans="1:4" x14ac:dyDescent="0.25">
      <c r="A65" s="1" t="s">
        <v>63</v>
      </c>
      <c r="B65">
        <v>1.0999999999999968E-3</v>
      </c>
      <c r="D65" s="2">
        <f t="shared" si="0"/>
        <v>0.11518324607329811</v>
      </c>
    </row>
    <row r="66" spans="1:4" x14ac:dyDescent="0.25">
      <c r="A66" s="1" t="s">
        <v>64</v>
      </c>
      <c r="B66">
        <v>1.0761000000000001</v>
      </c>
      <c r="D66" s="2">
        <f t="shared" si="0"/>
        <v>112.68062827225133</v>
      </c>
    </row>
    <row r="67" spans="1:4" x14ac:dyDescent="0.25">
      <c r="A67" s="1" t="s">
        <v>65</v>
      </c>
      <c r="B67">
        <v>0.28059999999999996</v>
      </c>
      <c r="D67" s="2">
        <f t="shared" ref="D67:D93" si="1">B67/$B$99</f>
        <v>29.38219895287958</v>
      </c>
    </row>
    <row r="68" spans="1:4" x14ac:dyDescent="0.25">
      <c r="A68" s="1" t="s">
        <v>66</v>
      </c>
      <c r="B68">
        <v>7.8000000000000014E-3</v>
      </c>
      <c r="D68" s="2">
        <f t="shared" si="1"/>
        <v>0.81675392670157088</v>
      </c>
    </row>
    <row r="69" spans="1:4" x14ac:dyDescent="0.25">
      <c r="A69" s="1" t="s">
        <v>67</v>
      </c>
      <c r="B69">
        <v>9.9999999999995925E-5</v>
      </c>
      <c r="D69" s="2">
        <f t="shared" si="1"/>
        <v>1.0471204188481249E-2</v>
      </c>
    </row>
    <row r="70" spans="1:4" x14ac:dyDescent="0.25">
      <c r="A70" s="1" t="s">
        <v>68</v>
      </c>
      <c r="B70">
        <v>0</v>
      </c>
      <c r="D70" s="2">
        <f t="shared" si="1"/>
        <v>0</v>
      </c>
    </row>
    <row r="71" spans="1:4" x14ac:dyDescent="0.25">
      <c r="A71" s="1" t="s">
        <v>69</v>
      </c>
      <c r="B71">
        <v>0</v>
      </c>
      <c r="D71" s="2">
        <f t="shared" si="1"/>
        <v>0</v>
      </c>
    </row>
    <row r="72" spans="1:4" x14ac:dyDescent="0.25">
      <c r="A72" s="1" t="s">
        <v>70</v>
      </c>
      <c r="B72">
        <v>0</v>
      </c>
      <c r="D72" s="2">
        <f t="shared" si="1"/>
        <v>0</v>
      </c>
    </row>
    <row r="73" spans="1:4" x14ac:dyDescent="0.25">
      <c r="A73" s="1" t="s">
        <v>71</v>
      </c>
      <c r="B73">
        <v>0</v>
      </c>
      <c r="D73" s="2">
        <f t="shared" si="1"/>
        <v>0</v>
      </c>
    </row>
    <row r="74" spans="1:4" x14ac:dyDescent="0.25">
      <c r="A74" s="1" t="s">
        <v>72</v>
      </c>
      <c r="B74">
        <v>0.109</v>
      </c>
      <c r="D74" s="2">
        <f t="shared" si="1"/>
        <v>11.413612565445026</v>
      </c>
    </row>
    <row r="75" spans="1:4" x14ac:dyDescent="0.25">
      <c r="A75" s="1" t="s">
        <v>73</v>
      </c>
      <c r="B75">
        <v>2.3199999999999998E-2</v>
      </c>
      <c r="D75" s="2">
        <f t="shared" si="1"/>
        <v>2.4293193717277486</v>
      </c>
    </row>
    <row r="76" spans="1:4" x14ac:dyDescent="0.25">
      <c r="A76" s="1" t="s">
        <v>74</v>
      </c>
      <c r="B76">
        <v>1.3505</v>
      </c>
      <c r="D76" s="2">
        <f t="shared" si="1"/>
        <v>141.41361256544505</v>
      </c>
    </row>
    <row r="77" spans="1:4" x14ac:dyDescent="0.25">
      <c r="A77" s="1" t="s">
        <v>75</v>
      </c>
      <c r="B77">
        <v>3.9000000000000007E-3</v>
      </c>
      <c r="D77" s="2">
        <f t="shared" si="1"/>
        <v>0.40837696335078544</v>
      </c>
    </row>
    <row r="78" spans="1:4" x14ac:dyDescent="0.25">
      <c r="A78" s="1" t="s">
        <v>76</v>
      </c>
      <c r="B78">
        <v>-2.3999999999999994E-3</v>
      </c>
      <c r="D78" s="2">
        <f t="shared" si="1"/>
        <v>-0.25130890052356014</v>
      </c>
    </row>
    <row r="79" spans="1:4" x14ac:dyDescent="0.25">
      <c r="A79" s="1" t="s">
        <v>77</v>
      </c>
      <c r="B79">
        <v>0.97</v>
      </c>
      <c r="D79" s="2">
        <f t="shared" si="1"/>
        <v>101.57068062827226</v>
      </c>
    </row>
    <row r="80" spans="1:4" x14ac:dyDescent="0.25">
      <c r="A80" s="1" t="s">
        <v>78</v>
      </c>
      <c r="B80">
        <v>-1.9999999999999879E-4</v>
      </c>
      <c r="D80" s="2">
        <f t="shared" si="1"/>
        <v>-2.0942408376963224E-2</v>
      </c>
    </row>
    <row r="81" spans="1:4" x14ac:dyDescent="0.25">
      <c r="A81" s="1" t="s">
        <v>79</v>
      </c>
      <c r="B81">
        <v>0</v>
      </c>
      <c r="D81" s="2">
        <f t="shared" si="1"/>
        <v>0</v>
      </c>
    </row>
    <row r="82" spans="1:4" x14ac:dyDescent="0.25">
      <c r="A82" s="1" t="s">
        <v>80</v>
      </c>
      <c r="B82">
        <v>0</v>
      </c>
      <c r="D82" s="2">
        <f t="shared" si="1"/>
        <v>0</v>
      </c>
    </row>
    <row r="83" spans="1:4" x14ac:dyDescent="0.25">
      <c r="A83" s="1" t="s">
        <v>81</v>
      </c>
      <c r="B83">
        <v>0</v>
      </c>
      <c r="D83" s="2">
        <f t="shared" si="1"/>
        <v>0</v>
      </c>
    </row>
    <row r="84" spans="1:4" x14ac:dyDescent="0.25">
      <c r="A84" s="1" t="s">
        <v>82</v>
      </c>
      <c r="B84">
        <v>0</v>
      </c>
      <c r="D84" s="2">
        <f t="shared" si="1"/>
        <v>0</v>
      </c>
    </row>
    <row r="85" spans="1:4" x14ac:dyDescent="0.25">
      <c r="A85" s="1" t="s">
        <v>83</v>
      </c>
      <c r="B85">
        <v>0</v>
      </c>
      <c r="D85" s="2">
        <f t="shared" si="1"/>
        <v>0</v>
      </c>
    </row>
    <row r="86" spans="1:4" x14ac:dyDescent="0.25">
      <c r="A86" s="1" t="s">
        <v>84</v>
      </c>
      <c r="B86">
        <v>9.8900000000000002E-2</v>
      </c>
      <c r="D86" s="2">
        <f t="shared" si="1"/>
        <v>10.356020942408378</v>
      </c>
    </row>
    <row r="87" spans="1:4" x14ac:dyDescent="0.25">
      <c r="A87" s="1" t="s">
        <v>85</v>
      </c>
      <c r="B87">
        <v>1.3694</v>
      </c>
      <c r="D87" s="2">
        <f t="shared" si="1"/>
        <v>143.39267015706807</v>
      </c>
    </row>
    <row r="88" spans="1:4" x14ac:dyDescent="0.25">
      <c r="A88" s="1" t="s">
        <v>86</v>
      </c>
      <c r="B88">
        <v>0.68179999999999996</v>
      </c>
      <c r="D88" s="2">
        <f t="shared" si="1"/>
        <v>71.392670157068068</v>
      </c>
    </row>
    <row r="89" spans="1:4" x14ac:dyDescent="0.25">
      <c r="A89" s="1" t="s">
        <v>87</v>
      </c>
      <c r="B89">
        <v>9.3999999999999917E-3</v>
      </c>
      <c r="D89" s="2">
        <f t="shared" si="1"/>
        <v>0.98429319371727664</v>
      </c>
    </row>
    <row r="90" spans="1:4" x14ac:dyDescent="0.25">
      <c r="A90" s="1" t="s">
        <v>88</v>
      </c>
      <c r="B90">
        <v>-2.9999999999999957E-3</v>
      </c>
      <c r="D90" s="2">
        <f t="shared" si="1"/>
        <v>-0.31413612565444982</v>
      </c>
    </row>
    <row r="91" spans="1:4" x14ac:dyDescent="0.25">
      <c r="A91" s="1" t="s">
        <v>89</v>
      </c>
      <c r="B91">
        <v>5.67E-2</v>
      </c>
      <c r="D91" s="2">
        <f t="shared" si="1"/>
        <v>5.9371727748691105</v>
      </c>
    </row>
    <row r="92" spans="1:4" x14ac:dyDescent="0.25">
      <c r="A92" s="1" t="s">
        <v>90</v>
      </c>
      <c r="B92">
        <v>-2.0000000000000573E-4</v>
      </c>
      <c r="D92" s="2">
        <f t="shared" si="1"/>
        <v>-2.0942408376963952E-2</v>
      </c>
    </row>
    <row r="93" spans="1:4" x14ac:dyDescent="0.25">
      <c r="A93" s="1" t="s">
        <v>91</v>
      </c>
      <c r="B93">
        <v>1.9999999999999879E-4</v>
      </c>
      <c r="D93" s="2">
        <f t="shared" si="1"/>
        <v>2.0942408376963224E-2</v>
      </c>
    </row>
    <row r="94" spans="1:4" x14ac:dyDescent="0.25">
      <c r="A94" s="1" t="s">
        <v>92</v>
      </c>
    </row>
    <row r="95" spans="1:4" x14ac:dyDescent="0.25">
      <c r="A95" s="1" t="s">
        <v>93</v>
      </c>
    </row>
    <row r="96" spans="1:4" x14ac:dyDescent="0.25">
      <c r="A96" s="1" t="s">
        <v>94</v>
      </c>
    </row>
    <row r="97" spans="1:2" x14ac:dyDescent="0.25">
      <c r="A97" s="1" t="s">
        <v>95</v>
      </c>
    </row>
    <row r="99" spans="1:2" x14ac:dyDescent="0.25">
      <c r="A99" s="1" t="s">
        <v>96</v>
      </c>
      <c r="B99">
        <f>AVERAGE(B68,B56,B44,B32)</f>
        <v>9.5499999999999995E-3</v>
      </c>
    </row>
    <row r="100" spans="1:2" x14ac:dyDescent="0.25">
      <c r="B100">
        <f>_xlfn.STDEV.P(B68,B56,B44,B32)</f>
        <v>2.42744721878767E-3</v>
      </c>
    </row>
    <row r="101" spans="1:2" x14ac:dyDescent="0.25">
      <c r="B101">
        <f>B100/B99</f>
        <v>0.25418295484687647</v>
      </c>
    </row>
  </sheetData>
  <conditionalFormatting sqref="B2:B93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2023-09-26T09:44:02Z</dcterms:created>
  <dcterms:modified xsi:type="dcterms:W3CDTF">2024-08-30T16:11:55Z</dcterms:modified>
</cp:coreProperties>
</file>