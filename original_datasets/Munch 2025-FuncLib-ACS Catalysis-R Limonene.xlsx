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13_ncr:1_{7D524884-0100-430F-84F2-8E6CA509001C}" xr6:coauthVersionLast="47" xr6:coauthVersionMax="47" xr10:uidLastSave="{00000000-0000-0000-0000-000000000000}"/>
  <bookViews>
    <workbookView xWindow="-120" yWindow="-120" windowWidth="38640" windowHeight="21240" xr2:uid="{FB5AE64C-0802-40C7-B8AC-8656CC8F1018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15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R4" i="1"/>
  <c r="Q4" i="1"/>
  <c r="P5" i="1"/>
  <c r="P6" i="1"/>
  <c r="P7" i="1"/>
  <c r="P8" i="1"/>
  <c r="P9" i="1"/>
  <c r="P10" i="1"/>
  <c r="P11" i="1"/>
  <c r="P12" i="1"/>
  <c r="P13" i="1"/>
  <c r="P14" i="1"/>
  <c r="P15" i="1"/>
  <c r="T15" i="1" s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4" i="1"/>
  <c r="M15" i="1"/>
  <c r="N15" i="1" s="1"/>
  <c r="M4" i="1"/>
  <c r="N4" i="1" s="1"/>
  <c r="O5" i="1"/>
  <c r="M5" i="1" s="1"/>
  <c r="N5" i="1" s="1"/>
  <c r="O6" i="1"/>
  <c r="O7" i="1"/>
  <c r="M7" i="1" s="1"/>
  <c r="N7" i="1" s="1"/>
  <c r="O8" i="1"/>
  <c r="O9" i="1"/>
  <c r="M9" i="1" s="1"/>
  <c r="N9" i="1" s="1"/>
  <c r="O10" i="1"/>
  <c r="O11" i="1"/>
  <c r="M11" i="1" s="1"/>
  <c r="N11" i="1" s="1"/>
  <c r="O12" i="1"/>
  <c r="O13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M34" i="1" s="1"/>
  <c r="N34" i="1" s="1"/>
  <c r="O35" i="1"/>
  <c r="O36" i="1"/>
  <c r="M36" i="1" s="1"/>
  <c r="N36" i="1" s="1"/>
  <c r="O37" i="1"/>
  <c r="O38" i="1"/>
  <c r="M38" i="1" s="1"/>
  <c r="N38" i="1" s="1"/>
  <c r="O39" i="1"/>
  <c r="O40" i="1"/>
  <c r="M40" i="1" s="1"/>
  <c r="N40" i="1" s="1"/>
  <c r="O41" i="1"/>
  <c r="O42" i="1"/>
  <c r="M42" i="1" s="1"/>
  <c r="N42" i="1" s="1"/>
  <c r="O43" i="1"/>
  <c r="O44" i="1"/>
  <c r="M44" i="1" s="1"/>
  <c r="N44" i="1" s="1"/>
  <c r="O45" i="1"/>
  <c r="O46" i="1"/>
  <c r="M46" i="1" s="1"/>
  <c r="N46" i="1" s="1"/>
  <c r="O47" i="1"/>
  <c r="O48" i="1"/>
  <c r="M48" i="1" s="1"/>
  <c r="N48" i="1" s="1"/>
  <c r="O49" i="1"/>
  <c r="O50" i="1"/>
  <c r="M50" i="1" s="1"/>
  <c r="N50" i="1" s="1"/>
  <c r="O51" i="1"/>
  <c r="O52" i="1"/>
  <c r="M52" i="1" s="1"/>
  <c r="N52" i="1" s="1"/>
  <c r="O53" i="1"/>
  <c r="O54" i="1"/>
  <c r="I13" i="1"/>
  <c r="R13" i="1" s="1"/>
  <c r="T53" i="1" l="1"/>
  <c r="T49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4" i="1"/>
  <c r="T12" i="1"/>
  <c r="T10" i="1"/>
  <c r="T8" i="1"/>
  <c r="T6" i="1"/>
  <c r="M31" i="1"/>
  <c r="N31" i="1" s="1"/>
  <c r="M29" i="1"/>
  <c r="N29" i="1" s="1"/>
  <c r="M27" i="1"/>
  <c r="N27" i="1" s="1"/>
  <c r="M25" i="1"/>
  <c r="N25" i="1" s="1"/>
  <c r="M23" i="1"/>
  <c r="N23" i="1" s="1"/>
  <c r="M21" i="1"/>
  <c r="N21" i="1" s="1"/>
  <c r="M19" i="1"/>
  <c r="N19" i="1" s="1"/>
  <c r="M17" i="1"/>
  <c r="N17" i="1" s="1"/>
  <c r="M14" i="1"/>
  <c r="N14" i="1" s="1"/>
  <c r="X53" i="1"/>
  <c r="X49" i="1"/>
  <c r="X45" i="1"/>
  <c r="X43" i="1"/>
  <c r="X41" i="1"/>
  <c r="X39" i="1"/>
  <c r="X37" i="1"/>
  <c r="X35" i="1"/>
  <c r="X31" i="1"/>
  <c r="X27" i="1"/>
  <c r="X23" i="1"/>
  <c r="W15" i="1"/>
  <c r="T51" i="1"/>
  <c r="T47" i="1"/>
  <c r="T54" i="1"/>
  <c r="U54" i="1" s="1"/>
  <c r="T52" i="1"/>
  <c r="T50" i="1"/>
  <c r="U50" i="1" s="1"/>
  <c r="T48" i="1"/>
  <c r="U48" i="1" s="1"/>
  <c r="T46" i="1"/>
  <c r="U46" i="1" s="1"/>
  <c r="T44" i="1"/>
  <c r="U44" i="1" s="1"/>
  <c r="T42" i="1"/>
  <c r="U42" i="1" s="1"/>
  <c r="T40" i="1"/>
  <c r="U40" i="1" s="1"/>
  <c r="T38" i="1"/>
  <c r="U38" i="1" s="1"/>
  <c r="T36" i="1"/>
  <c r="U36" i="1" s="1"/>
  <c r="T34" i="1"/>
  <c r="U34" i="1" s="1"/>
  <c r="T32" i="1"/>
  <c r="U32" i="1" s="1"/>
  <c r="T30" i="1"/>
  <c r="U30" i="1" s="1"/>
  <c r="T28" i="1"/>
  <c r="U28" i="1" s="1"/>
  <c r="T26" i="1"/>
  <c r="U26" i="1" s="1"/>
  <c r="T24" i="1"/>
  <c r="U24" i="1" s="1"/>
  <c r="T22" i="1"/>
  <c r="U22" i="1" s="1"/>
  <c r="T20" i="1"/>
  <c r="U20" i="1" s="1"/>
  <c r="T18" i="1"/>
  <c r="U18" i="1" s="1"/>
  <c r="T16" i="1"/>
  <c r="U16" i="1" s="1"/>
  <c r="T13" i="1"/>
  <c r="U13" i="1" s="1"/>
  <c r="T11" i="1"/>
  <c r="U11" i="1" s="1"/>
  <c r="T9" i="1"/>
  <c r="U9" i="1" s="1"/>
  <c r="T7" i="1"/>
  <c r="U7" i="1" s="1"/>
  <c r="T5" i="1"/>
  <c r="U5" i="1" s="1"/>
  <c r="M53" i="1"/>
  <c r="N53" i="1" s="1"/>
  <c r="M51" i="1"/>
  <c r="N51" i="1" s="1"/>
  <c r="M49" i="1"/>
  <c r="N49" i="1" s="1"/>
  <c r="M47" i="1"/>
  <c r="N47" i="1" s="1"/>
  <c r="M45" i="1"/>
  <c r="N45" i="1" s="1"/>
  <c r="M43" i="1"/>
  <c r="N43" i="1" s="1"/>
  <c r="M41" i="1"/>
  <c r="N41" i="1" s="1"/>
  <c r="M39" i="1"/>
  <c r="N39" i="1" s="1"/>
  <c r="M37" i="1"/>
  <c r="N37" i="1" s="1"/>
  <c r="M35" i="1"/>
  <c r="N35" i="1" s="1"/>
  <c r="M32" i="1"/>
  <c r="N32" i="1" s="1"/>
  <c r="M30" i="1"/>
  <c r="N30" i="1" s="1"/>
  <c r="M28" i="1"/>
  <c r="N28" i="1" s="1"/>
  <c r="M26" i="1"/>
  <c r="N26" i="1" s="1"/>
  <c r="M24" i="1"/>
  <c r="N24" i="1" s="1"/>
  <c r="M22" i="1"/>
  <c r="N22" i="1" s="1"/>
  <c r="M20" i="1"/>
  <c r="N20" i="1" s="1"/>
  <c r="M18" i="1"/>
  <c r="N18" i="1" s="1"/>
  <c r="M13" i="1"/>
  <c r="N13" i="1" s="1"/>
  <c r="M10" i="1"/>
  <c r="N10" i="1" s="1"/>
  <c r="M8" i="1"/>
  <c r="N8" i="1" s="1"/>
  <c r="M6" i="1"/>
  <c r="N6" i="1" s="1"/>
  <c r="M54" i="1"/>
  <c r="N54" i="1" s="1"/>
  <c r="X54" i="1"/>
  <c r="X50" i="1"/>
  <c r="X46" i="1"/>
  <c r="X42" i="1"/>
  <c r="X38" i="1"/>
  <c r="X34" i="1"/>
  <c r="X30" i="1"/>
  <c r="X26" i="1"/>
  <c r="X22" i="1"/>
  <c r="X18" i="1"/>
  <c r="X14" i="1"/>
  <c r="X12" i="1"/>
  <c r="X10" i="1"/>
  <c r="X8" i="1"/>
  <c r="X6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T4" i="1"/>
  <c r="U4" i="1" s="1"/>
  <c r="Z38" i="1"/>
  <c r="Z37" i="1"/>
  <c r="Z36" i="1"/>
  <c r="Z35" i="1"/>
  <c r="Z34" i="1"/>
  <c r="Z33" i="1"/>
  <c r="Z32" i="1"/>
  <c r="Z31" i="1"/>
  <c r="Z30" i="1"/>
  <c r="Z29" i="1"/>
  <c r="Z27" i="1"/>
  <c r="Z25" i="1"/>
  <c r="Z23" i="1"/>
  <c r="Z21" i="1"/>
  <c r="Z19" i="1"/>
  <c r="Z17" i="1"/>
  <c r="Z15" i="1"/>
  <c r="Z14" i="1"/>
  <c r="Z12" i="1"/>
  <c r="Z10" i="1"/>
  <c r="Z8" i="1"/>
  <c r="Z6" i="1"/>
  <c r="X21" i="1"/>
  <c r="X19" i="1"/>
  <c r="X17" i="1"/>
  <c r="X15" i="1"/>
  <c r="X11" i="1"/>
  <c r="X7" i="1"/>
  <c r="Z4" i="1"/>
  <c r="Y53" i="1"/>
  <c r="Y51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U52" i="1" l="1"/>
  <c r="W4" i="1"/>
  <c r="U47" i="1"/>
  <c r="U51" i="1"/>
  <c r="Z13" i="1"/>
  <c r="Y50" i="1"/>
  <c r="Y54" i="1"/>
  <c r="X47" i="1"/>
  <c r="X51" i="1"/>
  <c r="X4" i="1"/>
  <c r="U6" i="1"/>
  <c r="U8" i="1"/>
  <c r="U10" i="1"/>
  <c r="U12" i="1"/>
  <c r="U14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  <c r="U43" i="1"/>
  <c r="U45" i="1"/>
  <c r="U49" i="1"/>
  <c r="U53" i="1"/>
  <c r="X5" i="1"/>
  <c r="X9" i="1"/>
  <c r="X13" i="1"/>
  <c r="Z5" i="1"/>
  <c r="Z7" i="1"/>
  <c r="Z9" i="1"/>
  <c r="Z11" i="1"/>
  <c r="Z16" i="1"/>
  <c r="Z18" i="1"/>
  <c r="Z20" i="1"/>
  <c r="Z22" i="1"/>
  <c r="Z24" i="1"/>
  <c r="Z26" i="1"/>
  <c r="Z28" i="1"/>
  <c r="Y4" i="1"/>
  <c r="X16" i="1"/>
  <c r="X20" i="1"/>
  <c r="X24" i="1"/>
  <c r="X28" i="1"/>
  <c r="X32" i="1"/>
  <c r="X36" i="1"/>
  <c r="X40" i="1"/>
  <c r="X44" i="1"/>
  <c r="X48" i="1"/>
  <c r="X52" i="1"/>
  <c r="W5" i="1"/>
  <c r="W7" i="1"/>
  <c r="W9" i="1"/>
  <c r="W11" i="1"/>
  <c r="W13" i="1"/>
  <c r="W16" i="1"/>
  <c r="W18" i="1"/>
  <c r="W20" i="1"/>
  <c r="W22" i="1"/>
  <c r="W24" i="1"/>
  <c r="W26" i="1"/>
  <c r="W28" i="1"/>
  <c r="W30" i="1"/>
  <c r="W32" i="1"/>
  <c r="W34" i="1"/>
  <c r="W36" i="1"/>
  <c r="W38" i="1"/>
  <c r="W40" i="1"/>
  <c r="W42" i="1"/>
  <c r="W44" i="1"/>
  <c r="W46" i="1"/>
  <c r="W48" i="1"/>
  <c r="W50" i="1"/>
  <c r="W52" i="1"/>
  <c r="W54" i="1"/>
  <c r="W47" i="1"/>
  <c r="W51" i="1"/>
  <c r="Y52" i="1"/>
  <c r="U15" i="1"/>
  <c r="X25" i="1"/>
  <c r="X29" i="1"/>
  <c r="X33" i="1"/>
  <c r="W6" i="1"/>
  <c r="W8" i="1"/>
  <c r="W10" i="1"/>
  <c r="W12" i="1"/>
  <c r="W14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9" i="1"/>
  <c r="W53" i="1"/>
</calcChain>
</file>

<file path=xl/sharedStrings.xml><?xml version="1.0" encoding="utf-8"?>
<sst xmlns="http://schemas.openxmlformats.org/spreadsheetml/2006/main" count="122" uniqueCount="91">
  <si>
    <t>P/IS</t>
  </si>
  <si>
    <t>Var 2</t>
  </si>
  <si>
    <t>Var 3</t>
  </si>
  <si>
    <t>Var 5</t>
  </si>
  <si>
    <t>Var 6</t>
  </si>
  <si>
    <t>Var 16</t>
  </si>
  <si>
    <t>Var 17</t>
  </si>
  <si>
    <t>Var 22</t>
  </si>
  <si>
    <t>Var 25</t>
  </si>
  <si>
    <t>Var 26</t>
  </si>
  <si>
    <t>Var 28</t>
  </si>
  <si>
    <t>Var 29</t>
  </si>
  <si>
    <t>Var 35</t>
  </si>
  <si>
    <t>Var 41</t>
  </si>
  <si>
    <t>Var 42</t>
  </si>
  <si>
    <t>Var 43</t>
  </si>
  <si>
    <t>Var 45</t>
  </si>
  <si>
    <t>wt</t>
  </si>
  <si>
    <t>?</t>
  </si>
  <si>
    <t>Carveol</t>
  </si>
  <si>
    <t>Carvon</t>
  </si>
  <si>
    <t>multiple hydroxylation</t>
  </si>
  <si>
    <t>Peryllalcohol</t>
  </si>
  <si>
    <t>Isopiperitenol</t>
  </si>
  <si>
    <t>Limepoxide</t>
  </si>
  <si>
    <t>Others</t>
  </si>
  <si>
    <t>compared to wt</t>
  </si>
  <si>
    <t>Regioselectivity</t>
  </si>
  <si>
    <t>regio</t>
  </si>
  <si>
    <t>dr1</t>
  </si>
  <si>
    <t xml:space="preserve">dr2 </t>
  </si>
  <si>
    <t>Product</t>
  </si>
  <si>
    <t>Retentiontime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</si>
  <si>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</si>
  <si>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</si>
  <si>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</si>
  <si>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</si>
  <si>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</si>
  <si>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</si>
  <si>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</si>
  <si>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</si>
  <si>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</si>
  <si>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</si>
  <si>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</si>
  <si>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</si>
  <si>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</si>
  <si>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</si>
  <si>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</si>
  <si>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</si>
  <si>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</si>
  <si>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</si>
  <si>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</si>
  <si>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</si>
  <si>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</si>
  <si>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</si>
  <si>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</si>
  <si>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</si>
  <si>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</si>
  <si>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</si>
  <si>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</si>
  <si>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</si>
  <si>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</si>
  <si>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</si>
  <si>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</si>
  <si>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</si>
  <si>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</si>
  <si>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</si>
  <si>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</si>
  <si>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</si>
  <si>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</si>
  <si>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</si>
  <si>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</si>
  <si>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</si>
  <si>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</si>
  <si>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</si>
  <si>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</si>
  <si>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</si>
  <si>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</si>
  <si>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</si>
  <si>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</si>
  <si>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</si>
  <si>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</si>
  <si>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</si>
  <si>
    <t>Integrated Area divided by internal standard minus background reaction</t>
  </si>
  <si>
    <t>limonene oxide</t>
  </si>
  <si>
    <t>Sum of limonene oixide</t>
  </si>
  <si>
    <t>Total sum of product</t>
  </si>
  <si>
    <t>Total sum of product divided by wild type activity</t>
  </si>
  <si>
    <t>dr 1</t>
  </si>
  <si>
    <t>dr 2</t>
  </si>
  <si>
    <t>diastereomeric ratio of limonene 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</si>
</sst>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8808-5A4C-45CB-BED5-E466A8B1593B}">
  <dimension ref="A1:Z57"/>
  <sheetViews>
    <sheetView tabSelected="1" workbookViewId="0">
      <selection activeCell="W1" sqref="W1:Z1"/>
    </sheetView>
  </sheetViews>
  <sheetFormatPr defaultRowHeight="15" x14ac:dyDescent="0.25"/>
  <cols>
    <col min="1" max="1" width="14.5703125" bestFit="1" customWidth="1"/>
    <col min="2" max="3" width="15.140625" bestFit="1" customWidth="1"/>
    <col min="10" max="10" width="12.5703125" bestFit="1" customWidth="1"/>
    <col min="11" max="11" width="21.7109375" bestFit="1" customWidth="1"/>
    <col min="13" max="13" width="18" customWidth="1"/>
    <col min="15" max="15" width="22.5703125" bestFit="1" customWidth="1"/>
    <col min="20" max="20" width="12.85546875" style="7" customWidth="1"/>
    <col min="21" max="21" width="32" style="7" customWidth="1"/>
    <col min="23" max="23" width="11.42578125" bestFit="1" customWidth="1"/>
    <col min="24" max="24" width="13.7109375" bestFit="1" customWidth="1"/>
  </cols>
  <sheetData>
    <row r="1" spans="1:26" ht="32.25" customHeight="1" x14ac:dyDescent="0.25">
      <c r="A1" s="8"/>
      <c r="B1" s="11" t="s">
        <v>83</v>
      </c>
      <c r="C1" s="11"/>
      <c r="D1" s="11"/>
      <c r="E1" s="11"/>
      <c r="F1" s="11"/>
      <c r="G1" s="11"/>
      <c r="H1" s="11"/>
      <c r="I1" s="11"/>
      <c r="J1" s="11"/>
      <c r="K1" s="11"/>
      <c r="L1" s="8"/>
      <c r="M1" s="11" t="s">
        <v>90</v>
      </c>
      <c r="N1" s="11"/>
      <c r="O1" s="6" t="s">
        <v>85</v>
      </c>
      <c r="P1" s="8"/>
      <c r="Q1" s="8"/>
      <c r="R1" s="8"/>
      <c r="S1" s="8"/>
      <c r="T1" s="5" t="s">
        <v>86</v>
      </c>
      <c r="U1" s="5" t="s">
        <v>87</v>
      </c>
      <c r="V1" s="8"/>
      <c r="W1" s="11" t="s">
        <v>27</v>
      </c>
      <c r="X1" s="11"/>
      <c r="Y1" s="11"/>
      <c r="Z1" s="11"/>
    </row>
    <row r="2" spans="1:26" x14ac:dyDescent="0.25">
      <c r="A2" t="s">
        <v>32</v>
      </c>
      <c r="B2">
        <v>10.5</v>
      </c>
      <c r="C2">
        <v>10.65</v>
      </c>
      <c r="D2">
        <v>11.85</v>
      </c>
      <c r="E2">
        <v>12.45</v>
      </c>
      <c r="F2">
        <v>12.6</v>
      </c>
      <c r="G2">
        <v>13.15</v>
      </c>
      <c r="H2">
        <v>13.5</v>
      </c>
      <c r="I2">
        <v>13.9</v>
      </c>
      <c r="J2">
        <v>15.75</v>
      </c>
      <c r="K2">
        <v>16</v>
      </c>
      <c r="M2" t="s">
        <v>88</v>
      </c>
      <c r="N2" t="s">
        <v>89</v>
      </c>
      <c r="O2" t="s">
        <v>84</v>
      </c>
      <c r="P2" t="s">
        <v>23</v>
      </c>
      <c r="Q2" t="s">
        <v>19</v>
      </c>
      <c r="R2" t="s">
        <v>25</v>
      </c>
      <c r="W2" t="s">
        <v>24</v>
      </c>
      <c r="X2" t="s">
        <v>23</v>
      </c>
      <c r="Y2" t="s">
        <v>19</v>
      </c>
      <c r="Z2" t="s">
        <v>25</v>
      </c>
    </row>
    <row r="3" spans="1:26" x14ac:dyDescent="0.25">
      <c r="A3" t="s">
        <v>31</v>
      </c>
      <c r="B3" t="s">
        <v>84</v>
      </c>
      <c r="C3" t="s">
        <v>84</v>
      </c>
      <c r="D3" t="s">
        <v>18</v>
      </c>
      <c r="E3" t="s">
        <v>18</v>
      </c>
      <c r="F3" t="s">
        <v>23</v>
      </c>
      <c r="G3" t="s">
        <v>19</v>
      </c>
      <c r="H3" t="s">
        <v>19</v>
      </c>
      <c r="I3" t="s">
        <v>20</v>
      </c>
      <c r="J3" t="s">
        <v>22</v>
      </c>
      <c r="K3" t="s">
        <v>21</v>
      </c>
    </row>
    <row r="4" spans="1:26" x14ac:dyDescent="0.25">
      <c r="A4" t="s">
        <v>33</v>
      </c>
      <c r="B4" s="1">
        <v>1.418763234415675E-2</v>
      </c>
      <c r="C4" s="1">
        <v>1.5948136965270976E-2</v>
      </c>
      <c r="D4" s="1">
        <v>1.5059384514794806E-3</v>
      </c>
      <c r="E4" s="1">
        <v>6.9248108204401984E-2</v>
      </c>
      <c r="F4" s="1">
        <v>3.3834597777091718E-2</v>
      </c>
      <c r="G4" s="1">
        <v>6.8874381815392169E-2</v>
      </c>
      <c r="H4" s="1">
        <v>2.2824770409217363E-3</v>
      </c>
      <c r="I4" s="1">
        <v>0</v>
      </c>
      <c r="J4" s="1">
        <v>0</v>
      </c>
      <c r="K4" s="1">
        <v>0</v>
      </c>
      <c r="M4" s="3">
        <f>B4/O4</f>
        <v>0.47079044833669692</v>
      </c>
      <c r="N4" s="4">
        <f>1-M4</f>
        <v>0.52920955166330308</v>
      </c>
      <c r="O4" s="1">
        <f>SUM(B4:C4)</f>
        <v>3.0135769309427726E-2</v>
      </c>
      <c r="P4" s="1">
        <f>F4</f>
        <v>3.3834597777091718E-2</v>
      </c>
      <c r="Q4" s="1">
        <f>SUM(G4:H4)</f>
        <v>7.1156858856313898E-2</v>
      </c>
      <c r="R4" s="1">
        <f>SUM(D4,E4,I4,J4,K4)</f>
        <v>7.0754046655881461E-2</v>
      </c>
      <c r="T4" s="9">
        <f>SUM(O4:R4)</f>
        <v>0.2058812725987148</v>
      </c>
      <c r="U4" s="10">
        <f>T4/$T$54</f>
        <v>0.40301981184270008</v>
      </c>
      <c r="W4" s="3">
        <f>O4/$T4</f>
        <v>0.14637450472809951</v>
      </c>
      <c r="X4" s="3">
        <f t="shared" ref="X4:Z19" si="0">P4/$T4</f>
        <v>0.16434033727311886</v>
      </c>
      <c r="Y4" s="3">
        <f t="shared" si="0"/>
        <v>0.34562084233375817</v>
      </c>
      <c r="Z4" s="3">
        <f t="shared" si="0"/>
        <v>0.34366431566502342</v>
      </c>
    </row>
    <row r="5" spans="1:26" x14ac:dyDescent="0.25">
      <c r="A5" t="s">
        <v>34</v>
      </c>
      <c r="B5" s="1">
        <v>0.58391907241866847</v>
      </c>
      <c r="C5" s="1">
        <v>0.19112234062454536</v>
      </c>
      <c r="D5" s="1">
        <v>1.4219941610455894E-2</v>
      </c>
      <c r="E5" s="1">
        <v>7.0384128499199741E-2</v>
      </c>
      <c r="F5" s="1">
        <v>0.1223845685249413</v>
      </c>
      <c r="G5" s="1">
        <v>5.2301284478141752E-2</v>
      </c>
      <c r="H5" s="1">
        <v>1.6838952927484115E-2</v>
      </c>
      <c r="I5" s="1">
        <v>6.3980628750404459E-3</v>
      </c>
      <c r="J5" s="1">
        <v>2.4772840687371143E-2</v>
      </c>
      <c r="K5" s="1">
        <v>2.892277799604466E-2</v>
      </c>
      <c r="M5" s="3">
        <f t="shared" ref="M5:M54" si="1">B5/O5</f>
        <v>0.75340370539156076</v>
      </c>
      <c r="N5" s="4">
        <f t="shared" ref="N5:N54" si="2">1-M5</f>
        <v>0.24659629460843924</v>
      </c>
      <c r="O5" s="1">
        <f t="shared" ref="O5:O54" si="3">SUM(B5:C5)</f>
        <v>0.77504141304321383</v>
      </c>
      <c r="P5" s="1">
        <f t="shared" ref="P5:P54" si="4">F5</f>
        <v>0.1223845685249413</v>
      </c>
      <c r="Q5" s="1">
        <f t="shared" ref="Q5:Q54" si="5">SUM(G5:H5)</f>
        <v>6.914023740562586E-2</v>
      </c>
      <c r="R5" s="1">
        <f t="shared" ref="R5:R54" si="6">SUM(D5,E5,I5,J5,K5)</f>
        <v>0.14469775166811188</v>
      </c>
      <c r="T5" s="9">
        <f t="shared" ref="T5:T54" si="7">SUM(O5:R5)</f>
        <v>1.1112639706418928</v>
      </c>
      <c r="U5" s="10">
        <f t="shared" ref="U5:U54" si="8">T5/$T$54</f>
        <v>2.1753381971200381</v>
      </c>
      <c r="W5" s="3">
        <f t="shared" ref="W5:W54" si="9">O5/$T5</f>
        <v>0.69744132224095357</v>
      </c>
      <c r="X5" s="3">
        <f t="shared" si="0"/>
        <v>0.11013096056218671</v>
      </c>
      <c r="Y5" s="3">
        <f t="shared" si="0"/>
        <v>6.2217654159784197E-2</v>
      </c>
      <c r="Z5" s="3">
        <f t="shared" si="0"/>
        <v>0.13021006303707569</v>
      </c>
    </row>
    <row r="6" spans="1:26" x14ac:dyDescent="0.25">
      <c r="A6" t="s">
        <v>35</v>
      </c>
      <c r="B6" s="1">
        <v>4.560960815563106E-2</v>
      </c>
      <c r="C6" s="1">
        <v>6.4497550451329252E-2</v>
      </c>
      <c r="D6" s="1">
        <v>8.0848780762547146E-3</v>
      </c>
      <c r="E6" s="1">
        <v>4.3119479187330681E-2</v>
      </c>
      <c r="F6" s="1">
        <v>7.9414807497942788E-2</v>
      </c>
      <c r="G6" s="1">
        <v>6.8600213359111858E-2</v>
      </c>
      <c r="H6" s="1">
        <v>3.0291499930307879E-3</v>
      </c>
      <c r="I6" s="1">
        <v>0</v>
      </c>
      <c r="J6" s="1">
        <v>0</v>
      </c>
      <c r="K6" s="1">
        <v>0</v>
      </c>
      <c r="M6" s="3">
        <f t="shared" si="1"/>
        <v>0.41422927203525073</v>
      </c>
      <c r="N6" s="4">
        <f t="shared" si="2"/>
        <v>0.58577072796474927</v>
      </c>
      <c r="O6" s="1">
        <f t="shared" si="3"/>
        <v>0.11010715860696031</v>
      </c>
      <c r="P6" s="1">
        <f t="shared" si="4"/>
        <v>7.9414807497942788E-2</v>
      </c>
      <c r="Q6" s="1">
        <f t="shared" si="5"/>
        <v>7.162936335214265E-2</v>
      </c>
      <c r="R6" s="1">
        <f t="shared" si="6"/>
        <v>5.1204357263585396E-2</v>
      </c>
      <c r="T6" s="9">
        <f t="shared" si="7"/>
        <v>0.31235568672063119</v>
      </c>
      <c r="U6" s="10">
        <f t="shared" si="8"/>
        <v>0.61144721178944172</v>
      </c>
      <c r="W6" s="3">
        <f t="shared" si="9"/>
        <v>0.35250569555162098</v>
      </c>
      <c r="X6" s="3">
        <f t="shared" si="0"/>
        <v>0.25424479487377111</v>
      </c>
      <c r="Y6" s="3">
        <f t="shared" si="0"/>
        <v>0.2293198632116068</v>
      </c>
      <c r="Z6" s="3">
        <f t="shared" si="0"/>
        <v>0.163929646363001</v>
      </c>
    </row>
    <row r="7" spans="1:26" x14ac:dyDescent="0.25">
      <c r="A7" t="s">
        <v>36</v>
      </c>
      <c r="B7" s="1">
        <v>2.388954718363967E-2</v>
      </c>
      <c r="C7" s="1">
        <v>5.6405184690604959E-3</v>
      </c>
      <c r="D7" s="1">
        <v>0</v>
      </c>
      <c r="E7" s="1">
        <v>2.337530839986186E-2</v>
      </c>
      <c r="F7" s="1">
        <v>4.4716173587986782E-2</v>
      </c>
      <c r="G7" s="1">
        <v>2.7079413164371506E-2</v>
      </c>
      <c r="H7" s="1">
        <v>3.7675161634734278E-5</v>
      </c>
      <c r="I7" s="1">
        <v>0</v>
      </c>
      <c r="J7" s="1">
        <v>0</v>
      </c>
      <c r="K7" s="1">
        <v>0</v>
      </c>
      <c r="M7" s="3">
        <f t="shared" si="1"/>
        <v>0.80899065598437847</v>
      </c>
      <c r="N7" s="4">
        <f t="shared" si="2"/>
        <v>0.19100934401562153</v>
      </c>
      <c r="O7" s="1">
        <f t="shared" si="3"/>
        <v>2.9530065652700166E-2</v>
      </c>
      <c r="P7" s="1">
        <f t="shared" si="4"/>
        <v>4.4716173587986782E-2</v>
      </c>
      <c r="Q7" s="1">
        <f t="shared" si="5"/>
        <v>2.711708832600624E-2</v>
      </c>
      <c r="R7" s="1">
        <f t="shared" si="6"/>
        <v>2.337530839986186E-2</v>
      </c>
      <c r="T7" s="9">
        <f t="shared" si="7"/>
        <v>0.12473863596655506</v>
      </c>
      <c r="U7" s="10">
        <f t="shared" si="8"/>
        <v>0.24418025477597469</v>
      </c>
      <c r="W7" s="3">
        <f t="shared" si="9"/>
        <v>0.23673551842123536</v>
      </c>
      <c r="X7" s="3">
        <f t="shared" si="0"/>
        <v>0.35847893671032355</v>
      </c>
      <c r="Y7" s="3">
        <f t="shared" si="0"/>
        <v>0.21739125264506562</v>
      </c>
      <c r="Z7" s="3">
        <f t="shared" si="0"/>
        <v>0.18739429222337536</v>
      </c>
    </row>
    <row r="8" spans="1:26" x14ac:dyDescent="0.25">
      <c r="A8" t="s">
        <v>37</v>
      </c>
      <c r="B8" s="1">
        <v>0.19359233139584556</v>
      </c>
      <c r="C8" s="1">
        <v>3.7469807827074597E-2</v>
      </c>
      <c r="D8" s="1">
        <v>8.4476163909920062E-4</v>
      </c>
      <c r="E8" s="1">
        <v>7.2590226188628232E-2</v>
      </c>
      <c r="F8" s="1">
        <v>0.1479050531211723</v>
      </c>
      <c r="G8" s="1">
        <v>3.5614740504173355E-2</v>
      </c>
      <c r="H8" s="1">
        <v>0</v>
      </c>
      <c r="I8" s="1">
        <v>0</v>
      </c>
      <c r="J8" s="1">
        <v>0</v>
      </c>
      <c r="K8" s="1">
        <v>0</v>
      </c>
      <c r="M8" s="3">
        <f t="shared" si="1"/>
        <v>0.83783666180409977</v>
      </c>
      <c r="N8" s="4">
        <f t="shared" si="2"/>
        <v>0.16216333819590023</v>
      </c>
      <c r="O8" s="1">
        <f t="shared" si="3"/>
        <v>0.23106213922292015</v>
      </c>
      <c r="P8" s="1">
        <f t="shared" si="4"/>
        <v>0.1479050531211723</v>
      </c>
      <c r="Q8" s="1">
        <f t="shared" si="5"/>
        <v>3.5614740504173355E-2</v>
      </c>
      <c r="R8" s="1">
        <f t="shared" si="6"/>
        <v>7.3434987827727435E-2</v>
      </c>
      <c r="T8" s="9">
        <f t="shared" si="7"/>
        <v>0.48801692067599328</v>
      </c>
      <c r="U8" s="10">
        <f t="shared" si="8"/>
        <v>0.95531023810137672</v>
      </c>
      <c r="W8" s="3">
        <f t="shared" si="9"/>
        <v>0.47347157328655032</v>
      </c>
      <c r="X8" s="3">
        <f t="shared" si="0"/>
        <v>0.30307361662029375</v>
      </c>
      <c r="Y8" s="3">
        <f t="shared" si="0"/>
        <v>7.2978495202257299E-2</v>
      </c>
      <c r="Z8" s="3">
        <f t="shared" si="0"/>
        <v>0.15047631489089858</v>
      </c>
    </row>
    <row r="9" spans="1:26" x14ac:dyDescent="0.25">
      <c r="A9" t="s">
        <v>38</v>
      </c>
      <c r="B9" s="1">
        <v>0.25543348812205957</v>
      </c>
      <c r="C9" s="1">
        <v>5.454794600199124E-2</v>
      </c>
      <c r="D9" s="1">
        <v>1.4104203312679912E-2</v>
      </c>
      <c r="E9" s="1">
        <v>5.8255358437127772E-2</v>
      </c>
      <c r="F9" s="1">
        <v>0.1458298240607353</v>
      </c>
      <c r="G9" s="1">
        <v>2.9053823689550957E-2</v>
      </c>
      <c r="H9" s="1">
        <v>0</v>
      </c>
      <c r="I9" s="1">
        <v>0</v>
      </c>
      <c r="J9" s="1">
        <v>9.5434535223761253E-3</v>
      </c>
      <c r="K9" s="1">
        <v>1.4343188328395477E-2</v>
      </c>
      <c r="M9" s="3">
        <f t="shared" si="1"/>
        <v>0.82402834493577504</v>
      </c>
      <c r="N9" s="4">
        <f t="shared" si="2"/>
        <v>0.17597165506422496</v>
      </c>
      <c r="O9" s="1">
        <f t="shared" si="3"/>
        <v>0.30998143412405083</v>
      </c>
      <c r="P9" s="1">
        <f t="shared" si="4"/>
        <v>0.1458298240607353</v>
      </c>
      <c r="Q9" s="1">
        <f t="shared" si="5"/>
        <v>2.9053823689550957E-2</v>
      </c>
      <c r="R9" s="1">
        <f t="shared" si="6"/>
        <v>9.6246203600579283E-2</v>
      </c>
      <c r="T9" s="9">
        <f t="shared" si="7"/>
        <v>0.58111128547491631</v>
      </c>
      <c r="U9" s="10">
        <f t="shared" si="8"/>
        <v>1.1375457222291927</v>
      </c>
      <c r="W9" s="3">
        <f t="shared" si="9"/>
        <v>0.53342869407658611</v>
      </c>
      <c r="X9" s="3">
        <f t="shared" si="0"/>
        <v>0.25094990874519862</v>
      </c>
      <c r="Y9" s="3">
        <f t="shared" si="0"/>
        <v>4.9997004731729765E-2</v>
      </c>
      <c r="Z9" s="3">
        <f t="shared" si="0"/>
        <v>0.16562439244648564</v>
      </c>
    </row>
    <row r="10" spans="1:26" x14ac:dyDescent="0.25">
      <c r="A10" t="s">
        <v>39</v>
      </c>
      <c r="B10" s="1">
        <v>1.0923089871755831E-2</v>
      </c>
      <c r="C10" s="1">
        <v>4.3417850328120178E-3</v>
      </c>
      <c r="D10" s="1">
        <v>0</v>
      </c>
      <c r="E10" s="1">
        <v>1.2379381399092542E-2</v>
      </c>
      <c r="F10" s="1">
        <v>1.481675599038899E-2</v>
      </c>
      <c r="G10" s="1">
        <v>1.0074267491185021E-3</v>
      </c>
      <c r="H10" s="1">
        <v>1.6152292290806912E-3</v>
      </c>
      <c r="I10" s="1">
        <v>1.5989274212388147E-3</v>
      </c>
      <c r="J10" s="1">
        <v>0</v>
      </c>
      <c r="K10" s="1">
        <v>0</v>
      </c>
      <c r="M10" s="3">
        <f t="shared" si="1"/>
        <v>0.71557021856020675</v>
      </c>
      <c r="N10" s="4">
        <f t="shared" si="2"/>
        <v>0.28442978143979325</v>
      </c>
      <c r="O10" s="1">
        <f t="shared" si="3"/>
        <v>1.5264874904567849E-2</v>
      </c>
      <c r="P10" s="1">
        <f t="shared" si="4"/>
        <v>1.481675599038899E-2</v>
      </c>
      <c r="Q10" s="1">
        <f t="shared" si="5"/>
        <v>2.6226559781991933E-3</v>
      </c>
      <c r="R10" s="1">
        <f t="shared" si="6"/>
        <v>1.3978308820331357E-2</v>
      </c>
      <c r="T10" s="9">
        <f t="shared" si="7"/>
        <v>4.6682595693487386E-2</v>
      </c>
      <c r="U10" s="10">
        <f t="shared" si="8"/>
        <v>9.1382818336219918E-2</v>
      </c>
      <c r="W10" s="3">
        <f t="shared" si="9"/>
        <v>0.3269928477155658</v>
      </c>
      <c r="X10" s="3">
        <f t="shared" si="0"/>
        <v>0.31739357613432906</v>
      </c>
      <c r="Y10" s="3">
        <f t="shared" si="0"/>
        <v>5.618059448577483E-2</v>
      </c>
      <c r="Z10" s="3">
        <f t="shared" si="0"/>
        <v>0.29943298166433036</v>
      </c>
    </row>
    <row r="11" spans="1:26" x14ac:dyDescent="0.25">
      <c r="A11" t="s">
        <v>40</v>
      </c>
      <c r="B11" s="1">
        <v>0</v>
      </c>
      <c r="C11" s="1">
        <v>2.2735842924531471E-3</v>
      </c>
      <c r="D11" s="1">
        <v>3.9724670253541011E-3</v>
      </c>
      <c r="E11" s="1">
        <v>9.9168744200931816E-3</v>
      </c>
      <c r="F11" s="1">
        <v>1.6998513857280278E-2</v>
      </c>
      <c r="G11" s="1">
        <v>1.5418915187862758E-2</v>
      </c>
      <c r="H11" s="1">
        <v>0</v>
      </c>
      <c r="I11" s="1">
        <v>0</v>
      </c>
      <c r="J11" s="1">
        <v>0</v>
      </c>
      <c r="K11" s="1">
        <v>0</v>
      </c>
      <c r="M11" s="3">
        <f t="shared" si="1"/>
        <v>0</v>
      </c>
      <c r="N11" s="4">
        <f t="shared" si="2"/>
        <v>1</v>
      </c>
      <c r="O11" s="1">
        <f t="shared" si="3"/>
        <v>2.2735842924531471E-3</v>
      </c>
      <c r="P11" s="1">
        <f t="shared" si="4"/>
        <v>1.6998513857280278E-2</v>
      </c>
      <c r="Q11" s="1">
        <f t="shared" si="5"/>
        <v>1.5418915187862758E-2</v>
      </c>
      <c r="R11" s="1">
        <f t="shared" si="6"/>
        <v>1.3889341445447283E-2</v>
      </c>
      <c r="T11" s="9">
        <f t="shared" si="7"/>
        <v>4.8580354783043463E-2</v>
      </c>
      <c r="U11" s="10">
        <f t="shared" si="8"/>
        <v>9.5097748312810898E-2</v>
      </c>
      <c r="W11" s="3">
        <f t="shared" si="9"/>
        <v>4.6800487616997011E-2</v>
      </c>
      <c r="X11" s="3">
        <f t="shared" si="0"/>
        <v>0.3499050991536492</v>
      </c>
      <c r="Y11" s="3">
        <f t="shared" si="0"/>
        <v>0.31738992555164691</v>
      </c>
      <c r="Z11" s="3">
        <f t="shared" si="0"/>
        <v>0.28590448767770699</v>
      </c>
    </row>
    <row r="12" spans="1:26" x14ac:dyDescent="0.25">
      <c r="A12" t="s">
        <v>41</v>
      </c>
      <c r="B12" s="1">
        <v>0</v>
      </c>
      <c r="C12" s="1">
        <v>0</v>
      </c>
      <c r="D12" s="1">
        <v>3.8386594706549468E-3</v>
      </c>
      <c r="E12" s="1">
        <v>4.3671311288104864E-3</v>
      </c>
      <c r="F12" s="1">
        <v>3.7985823117977317E-3</v>
      </c>
      <c r="G12" s="1">
        <v>1.1471063089136611E-2</v>
      </c>
      <c r="H12" s="1">
        <v>0</v>
      </c>
      <c r="I12" s="1">
        <v>0</v>
      </c>
      <c r="J12" s="1">
        <v>0</v>
      </c>
      <c r="K12" s="1">
        <v>0</v>
      </c>
      <c r="M12" s="3"/>
      <c r="N12" s="4"/>
      <c r="O12" s="1">
        <f t="shared" si="3"/>
        <v>0</v>
      </c>
      <c r="P12" s="1">
        <f t="shared" si="4"/>
        <v>3.7985823117977317E-3</v>
      </c>
      <c r="Q12" s="1">
        <f t="shared" si="5"/>
        <v>1.1471063089136611E-2</v>
      </c>
      <c r="R12" s="1">
        <f t="shared" si="6"/>
        <v>8.2057905994654332E-3</v>
      </c>
      <c r="T12" s="9">
        <f t="shared" si="7"/>
        <v>2.3475436000399776E-2</v>
      </c>
      <c r="U12" s="10">
        <f t="shared" si="8"/>
        <v>4.5953989308425931E-2</v>
      </c>
      <c r="W12" s="3">
        <f t="shared" si="9"/>
        <v>0</v>
      </c>
      <c r="X12" s="3">
        <f t="shared" si="0"/>
        <v>0.16181093768537647</v>
      </c>
      <c r="Y12" s="3">
        <f t="shared" si="0"/>
        <v>0.48864110932556332</v>
      </c>
      <c r="Z12" s="3">
        <f t="shared" si="0"/>
        <v>0.34954795298906022</v>
      </c>
    </row>
    <row r="13" spans="1:26" x14ac:dyDescent="0.25">
      <c r="A13" t="s">
        <v>42</v>
      </c>
      <c r="B13" s="1">
        <v>5.4528056353508325E-3</v>
      </c>
      <c r="C13" s="1">
        <v>1.8956687755629274E-2</v>
      </c>
      <c r="D13" s="1">
        <v>0</v>
      </c>
      <c r="E13" s="1">
        <v>5.0605248546554474E-3</v>
      </c>
      <c r="F13" s="1">
        <v>8.0544874855330087E-3</v>
      </c>
      <c r="G13" s="1">
        <v>0</v>
      </c>
      <c r="H13" s="1">
        <v>0</v>
      </c>
      <c r="I13" s="1">
        <f>I83</f>
        <v>0</v>
      </c>
      <c r="J13" s="1">
        <v>0</v>
      </c>
      <c r="K13" s="1">
        <v>0</v>
      </c>
      <c r="M13" s="3">
        <f t="shared" si="1"/>
        <v>0.22338872618166566</v>
      </c>
      <c r="N13" s="4">
        <f t="shared" si="2"/>
        <v>0.77661127381833439</v>
      </c>
      <c r="O13" s="1">
        <f t="shared" si="3"/>
        <v>2.4409493390980107E-2</v>
      </c>
      <c r="P13" s="1">
        <f t="shared" si="4"/>
        <v>8.0544874855330087E-3</v>
      </c>
      <c r="Q13" s="1">
        <f t="shared" si="5"/>
        <v>0</v>
      </c>
      <c r="R13" s="1">
        <f t="shared" si="6"/>
        <v>5.0605248546554474E-3</v>
      </c>
      <c r="T13" s="9">
        <f t="shared" si="7"/>
        <v>3.7524505731168563E-2</v>
      </c>
      <c r="U13" s="10">
        <f t="shared" si="8"/>
        <v>7.3455536039659583E-2</v>
      </c>
      <c r="W13" s="3">
        <f t="shared" si="9"/>
        <v>0.65049473445042927</v>
      </c>
      <c r="X13" s="3">
        <f t="shared" si="0"/>
        <v>0.214646064713993</v>
      </c>
      <c r="Y13" s="3">
        <f t="shared" si="0"/>
        <v>0</v>
      </c>
      <c r="Z13" s="3">
        <f t="shared" si="0"/>
        <v>0.1348592008355777</v>
      </c>
    </row>
    <row r="14" spans="1:26" x14ac:dyDescent="0.25">
      <c r="A14" t="s">
        <v>43</v>
      </c>
      <c r="B14" s="1">
        <v>4.054194962666674E-2</v>
      </c>
      <c r="C14" s="1">
        <v>2.2319741035835519E-2</v>
      </c>
      <c r="D14" s="1">
        <v>4.745762313531722E-3</v>
      </c>
      <c r="E14" s="1">
        <v>4.7871651443047059E-2</v>
      </c>
      <c r="F14" s="1">
        <v>7.1206922170463607E-2</v>
      </c>
      <c r="G14" s="1">
        <v>1.9800831805091249E-2</v>
      </c>
      <c r="H14" s="1">
        <v>0</v>
      </c>
      <c r="I14" s="1">
        <v>0</v>
      </c>
      <c r="J14" s="1">
        <v>0</v>
      </c>
      <c r="K14" s="1">
        <v>0</v>
      </c>
      <c r="M14" s="3">
        <f t="shared" si="1"/>
        <v>0.64493889997856024</v>
      </c>
      <c r="N14" s="4">
        <f t="shared" si="2"/>
        <v>0.35506110002143976</v>
      </c>
      <c r="O14" s="1">
        <f t="shared" si="3"/>
        <v>6.2861690662502259E-2</v>
      </c>
      <c r="P14" s="1">
        <f t="shared" si="4"/>
        <v>7.1206922170463607E-2</v>
      </c>
      <c r="Q14" s="1">
        <f t="shared" si="5"/>
        <v>1.9800831805091249E-2</v>
      </c>
      <c r="R14" s="1">
        <f t="shared" si="6"/>
        <v>5.2617413756578781E-2</v>
      </c>
      <c r="T14" s="9">
        <f t="shared" si="7"/>
        <v>0.2064868583946359</v>
      </c>
      <c r="U14" s="10">
        <f t="shared" si="8"/>
        <v>0.40420526727750516</v>
      </c>
      <c r="W14" s="3">
        <f t="shared" si="9"/>
        <v>0.3044343410095452</v>
      </c>
      <c r="X14" s="3">
        <f t="shared" si="0"/>
        <v>0.34484965640948223</v>
      </c>
      <c r="Y14" s="3">
        <f t="shared" si="0"/>
        <v>9.5893908014465845E-2</v>
      </c>
      <c r="Z14" s="3">
        <f t="shared" si="0"/>
        <v>0.25482209456650667</v>
      </c>
    </row>
    <row r="15" spans="1:26" x14ac:dyDescent="0.25">
      <c r="A15" t="s">
        <v>44</v>
      </c>
      <c r="B15" s="1">
        <v>1.452132517814203E-3</v>
      </c>
      <c r="C15" s="1">
        <v>3.4276930534541949E-3</v>
      </c>
      <c r="D15" s="1">
        <v>0</v>
      </c>
      <c r="E15" s="1">
        <v>7.5724501098006804E-3</v>
      </c>
      <c r="F15" s="1">
        <v>4.4289455122992621E-3</v>
      </c>
      <c r="G15" s="1">
        <v>6.5399694056876012E-3</v>
      </c>
      <c r="H15" s="1">
        <v>0</v>
      </c>
      <c r="I15" s="1">
        <v>0</v>
      </c>
      <c r="J15" s="1">
        <v>0</v>
      </c>
      <c r="K15" s="1">
        <v>0</v>
      </c>
      <c r="M15" s="3">
        <f t="shared" si="1"/>
        <v>0.29757877543085104</v>
      </c>
      <c r="N15" s="4">
        <f t="shared" si="2"/>
        <v>0.70242122456914902</v>
      </c>
      <c r="O15" s="1">
        <f t="shared" si="3"/>
        <v>4.879825571268398E-3</v>
      </c>
      <c r="P15" s="1">
        <f t="shared" si="4"/>
        <v>4.4289455122992621E-3</v>
      </c>
      <c r="Q15" s="1">
        <f t="shared" si="5"/>
        <v>6.5399694056876012E-3</v>
      </c>
      <c r="R15" s="1">
        <f t="shared" si="6"/>
        <v>7.5724501098006804E-3</v>
      </c>
      <c r="T15" s="9">
        <f t="shared" si="7"/>
        <v>2.3421190599055942E-2</v>
      </c>
      <c r="U15" s="10">
        <f t="shared" si="8"/>
        <v>4.5847802032784137E-2</v>
      </c>
      <c r="W15" s="3">
        <f t="shared" si="9"/>
        <v>0.20835087570078925</v>
      </c>
      <c r="X15" s="3">
        <f t="shared" si="0"/>
        <v>0.18909993040566364</v>
      </c>
      <c r="Y15" s="3">
        <f t="shared" si="0"/>
        <v>0.2792330038914082</v>
      </c>
      <c r="Z15" s="3">
        <f t="shared" si="0"/>
        <v>0.3233161900021389</v>
      </c>
    </row>
    <row r="16" spans="1:26" x14ac:dyDescent="0.25">
      <c r="A16" t="s">
        <v>45</v>
      </c>
      <c r="B16" s="1">
        <v>0</v>
      </c>
      <c r="C16" s="1">
        <v>0</v>
      </c>
      <c r="D16" s="1">
        <v>0</v>
      </c>
      <c r="E16" s="1">
        <v>8.0644479282905926E-4</v>
      </c>
      <c r="F16" s="1">
        <v>2.7200960766787206E-3</v>
      </c>
      <c r="G16" s="1">
        <v>2.0660230682355875E-3</v>
      </c>
      <c r="H16" s="1">
        <v>1.2827000138822507E-2</v>
      </c>
      <c r="I16" s="1">
        <v>0</v>
      </c>
      <c r="J16" s="1">
        <v>0</v>
      </c>
      <c r="K16" s="1">
        <v>0</v>
      </c>
      <c r="M16" s="3"/>
      <c r="N16" s="4"/>
      <c r="O16" s="1">
        <f t="shared" si="3"/>
        <v>0</v>
      </c>
      <c r="P16" s="1">
        <f t="shared" si="4"/>
        <v>2.7200960766787206E-3</v>
      </c>
      <c r="Q16" s="1">
        <f t="shared" si="5"/>
        <v>1.4893023207058095E-2</v>
      </c>
      <c r="R16" s="1">
        <f t="shared" si="6"/>
        <v>8.0644479282905926E-4</v>
      </c>
      <c r="T16" s="9">
        <f t="shared" si="7"/>
        <v>1.8419564076565875E-2</v>
      </c>
      <c r="U16" s="10">
        <f t="shared" si="8"/>
        <v>3.605694269644065E-2</v>
      </c>
      <c r="W16" s="3">
        <f t="shared" si="9"/>
        <v>0</v>
      </c>
      <c r="X16" s="3">
        <f t="shared" si="0"/>
        <v>0.14767429160494294</v>
      </c>
      <c r="Y16" s="3">
        <f t="shared" si="0"/>
        <v>0.80854373888281161</v>
      </c>
      <c r="Z16" s="3">
        <f t="shared" si="0"/>
        <v>4.3781969512245486E-2</v>
      </c>
    </row>
    <row r="17" spans="1:26" x14ac:dyDescent="0.25">
      <c r="A17" t="s">
        <v>46</v>
      </c>
      <c r="B17" s="1">
        <v>1.2695135999014603E-2</v>
      </c>
      <c r="C17" s="1">
        <v>6.7763501054490388E-3</v>
      </c>
      <c r="D17" s="1">
        <v>0</v>
      </c>
      <c r="E17" s="1">
        <v>2.6038733152325504E-2</v>
      </c>
      <c r="F17" s="1">
        <v>4.1884851860855887E-2</v>
      </c>
      <c r="G17" s="1">
        <v>6.1361353614615421E-3</v>
      </c>
      <c r="H17" s="1">
        <v>0</v>
      </c>
      <c r="I17" s="1">
        <v>0</v>
      </c>
      <c r="J17" s="1">
        <v>0</v>
      </c>
      <c r="K17" s="1">
        <v>0</v>
      </c>
      <c r="M17" s="3">
        <f t="shared" si="1"/>
        <v>0.65198598252366424</v>
      </c>
      <c r="N17" s="4">
        <f t="shared" si="2"/>
        <v>0.34801401747633576</v>
      </c>
      <c r="O17" s="1">
        <f t="shared" si="3"/>
        <v>1.9471486104463642E-2</v>
      </c>
      <c r="P17" s="1">
        <f t="shared" si="4"/>
        <v>4.1884851860855887E-2</v>
      </c>
      <c r="Q17" s="1">
        <f t="shared" si="5"/>
        <v>6.1361353614615421E-3</v>
      </c>
      <c r="R17" s="1">
        <f t="shared" si="6"/>
        <v>2.6038733152325504E-2</v>
      </c>
      <c r="T17" s="9">
        <f t="shared" si="7"/>
        <v>9.3531206479106579E-2</v>
      </c>
      <c r="U17" s="10">
        <f t="shared" si="8"/>
        <v>0.18309061703781973</v>
      </c>
      <c r="W17" s="3">
        <f t="shared" si="9"/>
        <v>0.20818170573703942</v>
      </c>
      <c r="X17" s="3">
        <f t="shared" si="0"/>
        <v>0.44781686709250684</v>
      </c>
      <c r="Y17" s="3">
        <f t="shared" si="0"/>
        <v>6.5605219823955327E-2</v>
      </c>
      <c r="Z17" s="3">
        <f t="shared" si="0"/>
        <v>0.27839620734649834</v>
      </c>
    </row>
    <row r="18" spans="1:26" x14ac:dyDescent="0.25">
      <c r="A18" t="s">
        <v>47</v>
      </c>
      <c r="B18" s="1">
        <v>2.9427399796870975E-2</v>
      </c>
      <c r="C18" s="1">
        <v>1.685694161388477E-3</v>
      </c>
      <c r="D18" s="1">
        <v>1.0502764377980691E-2</v>
      </c>
      <c r="E18" s="1">
        <v>3.2161994070175996E-2</v>
      </c>
      <c r="F18" s="1">
        <v>2.0192126588067703E-3</v>
      </c>
      <c r="G18" s="1">
        <v>1.3245454854651187E-2</v>
      </c>
      <c r="H18" s="1">
        <v>0</v>
      </c>
      <c r="I18" s="1">
        <v>0</v>
      </c>
      <c r="J18" s="1">
        <v>0</v>
      </c>
      <c r="K18" s="1">
        <v>0</v>
      </c>
      <c r="M18" s="3">
        <f t="shared" si="1"/>
        <v>0.94582042648506892</v>
      </c>
      <c r="N18" s="4">
        <f t="shared" si="2"/>
        <v>5.4179573514931079E-2</v>
      </c>
      <c r="O18" s="1">
        <f t="shared" si="3"/>
        <v>3.1113093958259452E-2</v>
      </c>
      <c r="P18" s="1">
        <f t="shared" si="4"/>
        <v>2.0192126588067703E-3</v>
      </c>
      <c r="Q18" s="1">
        <f t="shared" si="5"/>
        <v>1.3245454854651187E-2</v>
      </c>
      <c r="R18" s="1">
        <f t="shared" si="6"/>
        <v>4.2664758448156689E-2</v>
      </c>
      <c r="T18" s="9">
        <f t="shared" si="7"/>
        <v>8.9042519919874108E-2</v>
      </c>
      <c r="U18" s="10">
        <f t="shared" si="8"/>
        <v>0.17430385566953965</v>
      </c>
      <c r="W18" s="3">
        <f t="shared" si="9"/>
        <v>0.34941839007091119</v>
      </c>
      <c r="X18" s="3">
        <f t="shared" si="0"/>
        <v>2.2676948727684044E-2</v>
      </c>
      <c r="Y18" s="3">
        <f t="shared" si="0"/>
        <v>0.1487542678101457</v>
      </c>
      <c r="Z18" s="3">
        <f t="shared" si="0"/>
        <v>0.47915039339125892</v>
      </c>
    </row>
    <row r="19" spans="1:26" x14ac:dyDescent="0.25">
      <c r="A19" t="s">
        <v>48</v>
      </c>
      <c r="B19" s="1">
        <v>4.7788309689098585E-2</v>
      </c>
      <c r="C19" s="1">
        <v>5.8615034350195036E-3</v>
      </c>
      <c r="D19" s="1">
        <v>3.9452838061577317E-5</v>
      </c>
      <c r="E19" s="1">
        <v>5.6809230930312357E-2</v>
      </c>
      <c r="F19" s="1">
        <v>0.12443854046356924</v>
      </c>
      <c r="G19" s="1">
        <v>4.9447585339132474E-3</v>
      </c>
      <c r="H19" s="1">
        <v>1.3957961227079999E-2</v>
      </c>
      <c r="I19" s="1">
        <v>0</v>
      </c>
      <c r="J19" s="1">
        <v>4.8339223033428769E-3</v>
      </c>
      <c r="K19" s="1">
        <v>0</v>
      </c>
      <c r="M19" s="3">
        <f t="shared" si="1"/>
        <v>0.8907451285718555</v>
      </c>
      <c r="N19" s="4">
        <f t="shared" si="2"/>
        <v>0.1092548714281445</v>
      </c>
      <c r="O19" s="1">
        <f t="shared" si="3"/>
        <v>5.3649813124118088E-2</v>
      </c>
      <c r="P19" s="1">
        <f t="shared" si="4"/>
        <v>0.12443854046356924</v>
      </c>
      <c r="Q19" s="1">
        <f t="shared" si="5"/>
        <v>1.8902719760993246E-2</v>
      </c>
      <c r="R19" s="1">
        <f t="shared" si="6"/>
        <v>6.1682606071716807E-2</v>
      </c>
      <c r="T19" s="9">
        <f t="shared" si="7"/>
        <v>0.25867367942039737</v>
      </c>
      <c r="U19" s="10">
        <f t="shared" si="8"/>
        <v>0.5063627997475193</v>
      </c>
      <c r="W19" s="3">
        <f t="shared" si="9"/>
        <v>0.20740344840777644</v>
      </c>
      <c r="X19" s="3">
        <f t="shared" si="0"/>
        <v>0.48106378949104939</v>
      </c>
      <c r="Y19" s="3">
        <f t="shared" si="0"/>
        <v>7.3075543686346528E-2</v>
      </c>
      <c r="Z19" s="3">
        <f t="shared" si="0"/>
        <v>0.23845721841482767</v>
      </c>
    </row>
    <row r="20" spans="1:26" x14ac:dyDescent="0.25">
      <c r="A20" t="s">
        <v>49</v>
      </c>
      <c r="B20" s="1">
        <v>4.7198233928236022E-2</v>
      </c>
      <c r="C20" s="1">
        <v>7.2000039045718903E-2</v>
      </c>
      <c r="D20" s="1">
        <v>3.5119445314335668E-3</v>
      </c>
      <c r="E20" s="1">
        <v>7.5172952014415081E-2</v>
      </c>
      <c r="F20" s="1">
        <v>4.8859360734670745E-2</v>
      </c>
      <c r="G20" s="1">
        <v>5.6113502271292665E-2</v>
      </c>
      <c r="H20" s="1">
        <v>3.9817500712825658E-3</v>
      </c>
      <c r="I20" s="1">
        <v>0</v>
      </c>
      <c r="J20" s="1">
        <v>0</v>
      </c>
      <c r="K20" s="1">
        <v>0</v>
      </c>
      <c r="M20" s="3">
        <f t="shared" si="1"/>
        <v>0.39596407523915161</v>
      </c>
      <c r="N20" s="4">
        <f t="shared" si="2"/>
        <v>0.60403592476084844</v>
      </c>
      <c r="O20" s="1">
        <f t="shared" si="3"/>
        <v>0.11919827297395492</v>
      </c>
      <c r="P20" s="1">
        <f t="shared" si="4"/>
        <v>4.8859360734670745E-2</v>
      </c>
      <c r="Q20" s="1">
        <f t="shared" si="5"/>
        <v>6.0095252342575234E-2</v>
      </c>
      <c r="R20" s="1">
        <f t="shared" si="6"/>
        <v>7.8684896545848648E-2</v>
      </c>
      <c r="T20" s="9">
        <f t="shared" si="7"/>
        <v>0.30683778259704952</v>
      </c>
      <c r="U20" s="10">
        <f t="shared" si="8"/>
        <v>0.60064572094191604</v>
      </c>
      <c r="W20" s="3">
        <f t="shared" si="9"/>
        <v>0.3884732576447093</v>
      </c>
      <c r="X20" s="3">
        <f t="shared" ref="X20:X54" si="10">P20/$T20</f>
        <v>0.1592351512943718</v>
      </c>
      <c r="Y20" s="3">
        <f t="shared" ref="Y20:Y54" si="11">Q20/$T20</f>
        <v>0.19585349572641936</v>
      </c>
      <c r="Z20" s="3">
        <f t="shared" ref="Z20:Z54" si="12">R20/$T20</f>
        <v>0.25643809533449963</v>
      </c>
    </row>
    <row r="21" spans="1:26" x14ac:dyDescent="0.25">
      <c r="A21" t="s">
        <v>50</v>
      </c>
      <c r="B21" s="1">
        <v>1.5759386758855215E-2</v>
      </c>
      <c r="C21" s="1">
        <v>6.6934935618370439E-2</v>
      </c>
      <c r="D21" s="1">
        <v>9.2646544473704018E-5</v>
      </c>
      <c r="E21" s="1">
        <v>3.3674453433495066E-2</v>
      </c>
      <c r="F21" s="1">
        <v>9.4433933055677668E-2</v>
      </c>
      <c r="G21" s="1">
        <v>4.2732949302764084E-3</v>
      </c>
      <c r="H21" s="1">
        <v>0</v>
      </c>
      <c r="I21" s="1">
        <v>0</v>
      </c>
      <c r="J21" s="1">
        <v>0</v>
      </c>
      <c r="K21" s="1">
        <v>0</v>
      </c>
      <c r="M21" s="3">
        <f t="shared" si="1"/>
        <v>0.19057398749778512</v>
      </c>
      <c r="N21" s="4">
        <f t="shared" si="2"/>
        <v>0.80942601250221491</v>
      </c>
      <c r="O21" s="1">
        <f t="shared" si="3"/>
        <v>8.2694322377225654E-2</v>
      </c>
      <c r="P21" s="1">
        <f t="shared" si="4"/>
        <v>9.4433933055677668E-2</v>
      </c>
      <c r="Q21" s="1">
        <f t="shared" si="5"/>
        <v>4.2732949302764084E-3</v>
      </c>
      <c r="R21" s="1">
        <f t="shared" si="6"/>
        <v>3.376709997796877E-2</v>
      </c>
      <c r="T21" s="9">
        <f t="shared" si="7"/>
        <v>0.21516865034114852</v>
      </c>
      <c r="U21" s="10">
        <f t="shared" si="8"/>
        <v>0.42120017950325572</v>
      </c>
      <c r="W21" s="3">
        <f t="shared" si="9"/>
        <v>0.3843232842986854</v>
      </c>
      <c r="X21" s="3">
        <f t="shared" si="10"/>
        <v>0.43888332666470359</v>
      </c>
      <c r="Y21" s="3">
        <f t="shared" si="11"/>
        <v>1.9860211622376805E-2</v>
      </c>
      <c r="Z21" s="3">
        <f t="shared" si="12"/>
        <v>0.15693317741423413</v>
      </c>
    </row>
    <row r="22" spans="1:26" x14ac:dyDescent="0.25">
      <c r="A22" t="s">
        <v>51</v>
      </c>
      <c r="B22" s="1">
        <v>2.3763202715182841E-2</v>
      </c>
      <c r="C22" s="1">
        <v>8.6833257438936329E-3</v>
      </c>
      <c r="D22" s="1">
        <v>0</v>
      </c>
      <c r="E22" s="1">
        <v>2.6504580597899046E-2</v>
      </c>
      <c r="F22" s="1">
        <v>1.3233246183790594E-2</v>
      </c>
      <c r="G22" s="1">
        <v>0</v>
      </c>
      <c r="H22" s="1">
        <v>0</v>
      </c>
      <c r="I22" s="1">
        <v>1.4580789394301671E-3</v>
      </c>
      <c r="J22" s="1">
        <v>0</v>
      </c>
      <c r="K22" s="1">
        <v>0</v>
      </c>
      <c r="M22" s="3">
        <f t="shared" si="1"/>
        <v>0.73238043771475991</v>
      </c>
      <c r="N22" s="4">
        <f t="shared" si="2"/>
        <v>0.26761956228524009</v>
      </c>
      <c r="O22" s="1">
        <f t="shared" si="3"/>
        <v>3.2446528459076474E-2</v>
      </c>
      <c r="P22" s="1">
        <f t="shared" si="4"/>
        <v>1.3233246183790594E-2</v>
      </c>
      <c r="Q22" s="1">
        <f t="shared" si="5"/>
        <v>0</v>
      </c>
      <c r="R22" s="1">
        <f t="shared" si="6"/>
        <v>2.7962659537329213E-2</v>
      </c>
      <c r="T22" s="9">
        <f t="shared" si="7"/>
        <v>7.3642434180196281E-2</v>
      </c>
      <c r="U22" s="10">
        <f t="shared" si="8"/>
        <v>0.14415764771762149</v>
      </c>
      <c r="W22" s="3">
        <f t="shared" si="9"/>
        <v>0.44059554549327901</v>
      </c>
      <c r="X22" s="3">
        <f t="shared" si="10"/>
        <v>0.17969593660375288</v>
      </c>
      <c r="Y22" s="3">
        <f t="shared" si="11"/>
        <v>0</v>
      </c>
      <c r="Z22" s="3">
        <f t="shared" si="12"/>
        <v>0.37970851790296817</v>
      </c>
    </row>
    <row r="23" spans="1:26" x14ac:dyDescent="0.25">
      <c r="A23" t="s">
        <v>52</v>
      </c>
      <c r="B23" s="1">
        <v>4.4945442545588216E-3</v>
      </c>
      <c r="C23" s="1">
        <v>1.694897086039783E-2</v>
      </c>
      <c r="D23" s="1">
        <v>0</v>
      </c>
      <c r="E23" s="1">
        <v>8.2453081045598328E-3</v>
      </c>
      <c r="F23" s="1">
        <v>9.2977132164670864E-3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M23" s="3">
        <f t="shared" si="1"/>
        <v>0.20959922990535815</v>
      </c>
      <c r="N23" s="4">
        <f t="shared" si="2"/>
        <v>0.79040077009464182</v>
      </c>
      <c r="O23" s="1">
        <f t="shared" si="3"/>
        <v>2.1443515114956652E-2</v>
      </c>
      <c r="P23" s="1">
        <f t="shared" si="4"/>
        <v>9.2977132164670864E-3</v>
      </c>
      <c r="Q23" s="1">
        <f t="shared" si="5"/>
        <v>0</v>
      </c>
      <c r="R23" s="1">
        <f t="shared" si="6"/>
        <v>8.2453081045598328E-3</v>
      </c>
      <c r="T23" s="9">
        <f t="shared" si="7"/>
        <v>3.8986536435983571E-2</v>
      </c>
      <c r="U23" s="10">
        <f t="shared" si="8"/>
        <v>7.6317512421121253E-2</v>
      </c>
      <c r="W23" s="3">
        <f t="shared" si="9"/>
        <v>0.55002359981803461</v>
      </c>
      <c r="X23" s="3">
        <f t="shared" si="10"/>
        <v>0.23848523276064956</v>
      </c>
      <c r="Y23" s="3">
        <f t="shared" si="11"/>
        <v>0</v>
      </c>
      <c r="Z23" s="3">
        <f t="shared" si="12"/>
        <v>0.21149116742131588</v>
      </c>
    </row>
    <row r="24" spans="1:26" x14ac:dyDescent="0.25">
      <c r="A24" t="s">
        <v>53</v>
      </c>
      <c r="B24" s="1">
        <v>9.7122975791720662E-3</v>
      </c>
      <c r="C24" s="1">
        <v>7.1882394881716827E-3</v>
      </c>
      <c r="D24" s="1">
        <v>0</v>
      </c>
      <c r="E24" s="1">
        <v>5.7250877980901796E-2</v>
      </c>
      <c r="F24" s="1">
        <v>8.1321557625033784E-3</v>
      </c>
      <c r="G24" s="1">
        <v>2.4559182774277925E-2</v>
      </c>
      <c r="H24" s="1">
        <v>0</v>
      </c>
      <c r="I24" s="1">
        <v>0</v>
      </c>
      <c r="J24" s="1">
        <v>0</v>
      </c>
      <c r="K24" s="1">
        <v>0</v>
      </c>
      <c r="M24" s="3">
        <f t="shared" si="1"/>
        <v>0.57467390180982836</v>
      </c>
      <c r="N24" s="4">
        <f t="shared" si="2"/>
        <v>0.42532609819017164</v>
      </c>
      <c r="O24" s="1">
        <f t="shared" si="3"/>
        <v>1.6900537067343749E-2</v>
      </c>
      <c r="P24" s="1">
        <f t="shared" si="4"/>
        <v>8.1321557625033784E-3</v>
      </c>
      <c r="Q24" s="1">
        <f t="shared" si="5"/>
        <v>2.4559182774277925E-2</v>
      </c>
      <c r="R24" s="1">
        <f t="shared" si="6"/>
        <v>5.7250877980901796E-2</v>
      </c>
      <c r="T24" s="9">
        <f t="shared" si="7"/>
        <v>0.10684275358502685</v>
      </c>
      <c r="U24" s="10">
        <f t="shared" si="8"/>
        <v>0.20914843736429423</v>
      </c>
      <c r="W24" s="3">
        <f t="shared" si="9"/>
        <v>0.15818140678950288</v>
      </c>
      <c r="X24" s="3">
        <f t="shared" si="10"/>
        <v>7.6113311288179261E-2</v>
      </c>
      <c r="Y24" s="3">
        <f t="shared" si="11"/>
        <v>0.22986287745507616</v>
      </c>
      <c r="Z24" s="3">
        <f t="shared" si="12"/>
        <v>0.53584240446724174</v>
      </c>
    </row>
    <row r="25" spans="1:26" x14ac:dyDescent="0.25">
      <c r="A25" t="s">
        <v>54</v>
      </c>
      <c r="B25" s="1">
        <v>0.1311754127103989</v>
      </c>
      <c r="C25" s="1">
        <v>5.9886088211784233E-2</v>
      </c>
      <c r="D25" s="1">
        <v>0</v>
      </c>
      <c r="E25" s="1">
        <v>0.139510655773915</v>
      </c>
      <c r="F25" s="1">
        <v>0.12775840744770409</v>
      </c>
      <c r="G25" s="1">
        <v>7.2969038351517537E-3</v>
      </c>
      <c r="H25" s="1">
        <v>0</v>
      </c>
      <c r="I25" s="1">
        <v>0</v>
      </c>
      <c r="J25" s="1">
        <v>2.593111879097227E-2</v>
      </c>
      <c r="K25" s="1">
        <v>2.0230849673959959E-2</v>
      </c>
      <c r="M25" s="3">
        <f t="shared" si="1"/>
        <v>0.68656119666842219</v>
      </c>
      <c r="N25" s="4">
        <f t="shared" si="2"/>
        <v>0.31343880333157781</v>
      </c>
      <c r="O25" s="1">
        <f t="shared" si="3"/>
        <v>0.19106150092218313</v>
      </c>
      <c r="P25" s="1">
        <f t="shared" si="4"/>
        <v>0.12775840744770409</v>
      </c>
      <c r="Q25" s="1">
        <f t="shared" si="5"/>
        <v>7.2969038351517537E-3</v>
      </c>
      <c r="R25" s="1">
        <f t="shared" si="6"/>
        <v>0.18567262423884723</v>
      </c>
      <c r="T25" s="9">
        <f t="shared" si="7"/>
        <v>0.51178943644388619</v>
      </c>
      <c r="U25" s="10">
        <f t="shared" si="8"/>
        <v>1.0018457714739426</v>
      </c>
      <c r="W25" s="3">
        <f t="shared" si="9"/>
        <v>0.3733205246473108</v>
      </c>
      <c r="X25" s="3">
        <f t="shared" si="10"/>
        <v>0.24963080194741732</v>
      </c>
      <c r="Y25" s="3">
        <f t="shared" si="11"/>
        <v>1.425762885192298E-2</v>
      </c>
      <c r="Z25" s="3">
        <f t="shared" si="12"/>
        <v>0.36279104455334887</v>
      </c>
    </row>
    <row r="26" spans="1:26" x14ac:dyDescent="0.25">
      <c r="A26" t="s">
        <v>55</v>
      </c>
      <c r="B26" s="1">
        <v>6.3904937425867947E-3</v>
      </c>
      <c r="C26" s="1">
        <v>2.4609021572293277E-3</v>
      </c>
      <c r="D26" s="1">
        <v>2.5108728432220832E-3</v>
      </c>
      <c r="E26" s="1">
        <v>3.1544707387112056E-2</v>
      </c>
      <c r="F26" s="1">
        <v>2.5579893842546064E-2</v>
      </c>
      <c r="G26" s="1">
        <v>7.345921512060781E-3</v>
      </c>
      <c r="H26" s="1">
        <v>4.6870670410233441E-3</v>
      </c>
      <c r="I26" s="1">
        <v>0</v>
      </c>
      <c r="J26" s="1">
        <v>0</v>
      </c>
      <c r="K26" s="1">
        <v>0</v>
      </c>
      <c r="M26" s="3">
        <f t="shared" si="1"/>
        <v>0.72197581205463313</v>
      </c>
      <c r="N26" s="4">
        <f t="shared" si="2"/>
        <v>0.27802418794536687</v>
      </c>
      <c r="O26" s="1">
        <f t="shared" si="3"/>
        <v>8.8513958998161224E-3</v>
      </c>
      <c r="P26" s="1">
        <f t="shared" si="4"/>
        <v>2.5579893842546064E-2</v>
      </c>
      <c r="Q26" s="1">
        <f t="shared" si="5"/>
        <v>1.2032988553084125E-2</v>
      </c>
      <c r="R26" s="1">
        <f t="shared" si="6"/>
        <v>3.4055580230334143E-2</v>
      </c>
      <c r="T26" s="9">
        <f t="shared" si="7"/>
        <v>8.0519858525780461E-2</v>
      </c>
      <c r="U26" s="10">
        <f t="shared" si="8"/>
        <v>0.15762044708122444</v>
      </c>
      <c r="W26" s="3">
        <f t="shared" si="9"/>
        <v>0.109928110429828</v>
      </c>
      <c r="X26" s="3">
        <f t="shared" si="10"/>
        <v>0.31768428696823925</v>
      </c>
      <c r="Y26" s="3">
        <f t="shared" si="11"/>
        <v>0.14944125304481826</v>
      </c>
      <c r="Z26" s="3">
        <f t="shared" si="12"/>
        <v>0.42294634955711441</v>
      </c>
    </row>
    <row r="27" spans="1:26" x14ac:dyDescent="0.25">
      <c r="A27" t="s">
        <v>56</v>
      </c>
      <c r="B27" s="1">
        <v>0</v>
      </c>
      <c r="C27" s="1">
        <v>6.537686383924414E-3</v>
      </c>
      <c r="D27" s="1">
        <v>4.0269744740052855E-3</v>
      </c>
      <c r="E27" s="1">
        <v>1.1722529503328923E-2</v>
      </c>
      <c r="F27" s="1">
        <v>1.4085271376188962E-2</v>
      </c>
      <c r="G27" s="1">
        <v>0.12527777099986165</v>
      </c>
      <c r="H27" s="1">
        <v>3.8942657064963866E-3</v>
      </c>
      <c r="I27" s="1">
        <v>0</v>
      </c>
      <c r="J27" s="1">
        <v>0</v>
      </c>
      <c r="K27" s="1">
        <v>0</v>
      </c>
      <c r="M27" s="3">
        <f t="shared" si="1"/>
        <v>0</v>
      </c>
      <c r="N27" s="4">
        <f t="shared" si="2"/>
        <v>1</v>
      </c>
      <c r="O27" s="1">
        <f t="shared" si="3"/>
        <v>6.537686383924414E-3</v>
      </c>
      <c r="P27" s="1">
        <f t="shared" si="4"/>
        <v>1.4085271376188962E-2</v>
      </c>
      <c r="Q27" s="1">
        <f t="shared" si="5"/>
        <v>0.12917203670635805</v>
      </c>
      <c r="R27" s="1">
        <f t="shared" si="6"/>
        <v>1.5749503977334208E-2</v>
      </c>
      <c r="T27" s="9">
        <f t="shared" si="7"/>
        <v>0.16554449844380564</v>
      </c>
      <c r="U27" s="10">
        <f t="shared" si="8"/>
        <v>0.32405916173083332</v>
      </c>
      <c r="W27" s="3">
        <f t="shared" si="9"/>
        <v>3.9492018432395339E-2</v>
      </c>
      <c r="X27" s="3">
        <f t="shared" si="10"/>
        <v>8.5084503010350601E-2</v>
      </c>
      <c r="Y27" s="3">
        <f t="shared" si="11"/>
        <v>0.78028589243758961</v>
      </c>
      <c r="Z27" s="3">
        <f t="shared" si="12"/>
        <v>9.51375861196644E-2</v>
      </c>
    </row>
    <row r="28" spans="1:26" x14ac:dyDescent="0.25">
      <c r="A28" t="s">
        <v>57</v>
      </c>
      <c r="B28" s="1">
        <v>0.12320070137197367</v>
      </c>
      <c r="C28" s="1">
        <v>6.8736334262025731E-2</v>
      </c>
      <c r="D28" s="1">
        <v>1.3077505344951459E-3</v>
      </c>
      <c r="E28" s="1">
        <v>0.14707921616702205</v>
      </c>
      <c r="F28" s="1">
        <v>0.12473002947237892</v>
      </c>
      <c r="G28" s="1">
        <v>2.0976534681583781E-3</v>
      </c>
      <c r="H28" s="1">
        <v>0</v>
      </c>
      <c r="I28" s="1">
        <v>0</v>
      </c>
      <c r="J28" s="1">
        <v>1.684899354217935E-2</v>
      </c>
      <c r="K28" s="1">
        <v>1.3024132092398237E-2</v>
      </c>
      <c r="M28" s="3">
        <f t="shared" si="1"/>
        <v>0.64188081765992488</v>
      </c>
      <c r="N28" s="4">
        <f t="shared" si="2"/>
        <v>0.35811918234007512</v>
      </c>
      <c r="O28" s="1">
        <f t="shared" si="3"/>
        <v>0.19193703563399939</v>
      </c>
      <c r="P28" s="1">
        <f t="shared" si="4"/>
        <v>0.12473002947237892</v>
      </c>
      <c r="Q28" s="1">
        <f t="shared" si="5"/>
        <v>2.0976534681583781E-3</v>
      </c>
      <c r="R28" s="1">
        <f t="shared" si="6"/>
        <v>0.17826009233609477</v>
      </c>
      <c r="T28" s="9">
        <f t="shared" si="7"/>
        <v>0.49702481091063144</v>
      </c>
      <c r="U28" s="10">
        <f t="shared" si="8"/>
        <v>0.97294349916315159</v>
      </c>
      <c r="W28" s="3">
        <f t="shared" si="9"/>
        <v>0.38617194035512847</v>
      </c>
      <c r="X28" s="3">
        <f t="shared" si="10"/>
        <v>0.25095332614050581</v>
      </c>
      <c r="Y28" s="3">
        <f t="shared" si="11"/>
        <v>4.2204200315777611E-3</v>
      </c>
      <c r="Z28" s="3">
        <f t="shared" si="12"/>
        <v>0.35865431347278798</v>
      </c>
    </row>
    <row r="29" spans="1:26" x14ac:dyDescent="0.25">
      <c r="A29" t="s">
        <v>58</v>
      </c>
      <c r="B29" s="1">
        <v>3.5315993146365937E-2</v>
      </c>
      <c r="C29" s="1">
        <v>0.10297314481608531</v>
      </c>
      <c r="D29" s="1">
        <v>0</v>
      </c>
      <c r="E29" s="1">
        <v>8.3591040480081952E-2</v>
      </c>
      <c r="F29" s="1">
        <v>0.13545799821938884</v>
      </c>
      <c r="G29" s="1">
        <v>0.10329664525171015</v>
      </c>
      <c r="H29" s="1">
        <v>-3.4870584770619814E-3</v>
      </c>
      <c r="I29" s="1">
        <v>0</v>
      </c>
      <c r="J29" s="1">
        <v>0</v>
      </c>
      <c r="K29" s="1">
        <v>0</v>
      </c>
      <c r="M29" s="3">
        <f t="shared" si="1"/>
        <v>0.25537792531438774</v>
      </c>
      <c r="N29" s="4">
        <f t="shared" si="2"/>
        <v>0.74462207468561226</v>
      </c>
      <c r="O29" s="1">
        <f t="shared" si="3"/>
        <v>0.13828913796245124</v>
      </c>
      <c r="P29" s="1">
        <f t="shared" si="4"/>
        <v>0.13545799821938884</v>
      </c>
      <c r="Q29" s="1">
        <f t="shared" si="5"/>
        <v>9.9809586774648157E-2</v>
      </c>
      <c r="R29" s="1">
        <f t="shared" si="6"/>
        <v>8.3591040480081952E-2</v>
      </c>
      <c r="T29" s="9">
        <f t="shared" si="7"/>
        <v>0.45714776343657015</v>
      </c>
      <c r="U29" s="10">
        <f t="shared" si="8"/>
        <v>0.89488278015271872</v>
      </c>
      <c r="W29" s="3">
        <f t="shared" si="9"/>
        <v>0.30250424266078474</v>
      </c>
      <c r="X29" s="3">
        <f t="shared" si="10"/>
        <v>0.29631119093987168</v>
      </c>
      <c r="Y29" s="3">
        <f t="shared" si="11"/>
        <v>0.21833112782689326</v>
      </c>
      <c r="Z29" s="3">
        <f t="shared" si="12"/>
        <v>0.18285343857245037</v>
      </c>
    </row>
    <row r="30" spans="1:26" x14ac:dyDescent="0.25">
      <c r="A30" t="s">
        <v>59</v>
      </c>
      <c r="B30" s="1">
        <v>2.6320687817341953E-2</v>
      </c>
      <c r="C30" s="1">
        <v>4.8070287990447297E-2</v>
      </c>
      <c r="D30" s="1">
        <v>3.3512771351072827E-3</v>
      </c>
      <c r="E30" s="1">
        <v>3.2055003903808457E-2</v>
      </c>
      <c r="F30" s="1">
        <v>3.4836036217963232E-2</v>
      </c>
      <c r="G30" s="1">
        <v>4.6967404906144025E-2</v>
      </c>
      <c r="H30" s="1">
        <v>0</v>
      </c>
      <c r="I30" s="1">
        <v>0</v>
      </c>
      <c r="J30" s="1">
        <v>0</v>
      </c>
      <c r="K30" s="1">
        <v>0</v>
      </c>
      <c r="M30" s="3">
        <f t="shared" si="1"/>
        <v>0.35381560103942061</v>
      </c>
      <c r="N30" s="4">
        <f t="shared" si="2"/>
        <v>0.64618439896057933</v>
      </c>
      <c r="O30" s="1">
        <f t="shared" si="3"/>
        <v>7.439097580778925E-2</v>
      </c>
      <c r="P30" s="1">
        <f t="shared" si="4"/>
        <v>3.4836036217963232E-2</v>
      </c>
      <c r="Q30" s="1">
        <f t="shared" si="5"/>
        <v>4.6967404906144025E-2</v>
      </c>
      <c r="R30" s="1">
        <f t="shared" si="6"/>
        <v>3.5406281038915743E-2</v>
      </c>
      <c r="T30" s="9">
        <f t="shared" si="7"/>
        <v>0.19160069797081225</v>
      </c>
      <c r="U30" s="10">
        <f t="shared" si="8"/>
        <v>0.37506508615591677</v>
      </c>
      <c r="W30" s="3">
        <f t="shared" si="9"/>
        <v>0.38826046353506344</v>
      </c>
      <c r="X30" s="3">
        <f t="shared" si="10"/>
        <v>0.1818158106254395</v>
      </c>
      <c r="Y30" s="3">
        <f t="shared" si="11"/>
        <v>0.24513170047688901</v>
      </c>
      <c r="Z30" s="3">
        <f t="shared" si="12"/>
        <v>0.18479202536260805</v>
      </c>
    </row>
    <row r="31" spans="1:26" x14ac:dyDescent="0.25">
      <c r="A31" t="s">
        <v>60</v>
      </c>
      <c r="B31" s="1">
        <v>9.8069177680060182E-2</v>
      </c>
      <c r="C31" s="1">
        <v>1.5730692535267154E-2</v>
      </c>
      <c r="D31" s="1">
        <v>7.635351144064037E-3</v>
      </c>
      <c r="E31" s="1">
        <v>4.8520825730730563E-2</v>
      </c>
      <c r="F31" s="1">
        <v>9.5462468466928463E-2</v>
      </c>
      <c r="G31" s="1">
        <v>9.9513522250744488E-3</v>
      </c>
      <c r="H31" s="1">
        <v>1.4520789211574306E-3</v>
      </c>
      <c r="I31" s="1">
        <v>0</v>
      </c>
      <c r="J31" s="1">
        <v>0</v>
      </c>
      <c r="K31" s="1">
        <v>0</v>
      </c>
      <c r="M31" s="3">
        <f t="shared" si="1"/>
        <v>0.86176880074202022</v>
      </c>
      <c r="N31" s="4">
        <f t="shared" si="2"/>
        <v>0.13823119925797978</v>
      </c>
      <c r="O31" s="1">
        <f t="shared" si="3"/>
        <v>0.11379987021532734</v>
      </c>
      <c r="P31" s="1">
        <f t="shared" si="4"/>
        <v>9.5462468466928463E-2</v>
      </c>
      <c r="Q31" s="1">
        <f t="shared" si="5"/>
        <v>1.1403431146231879E-2</v>
      </c>
      <c r="R31" s="1">
        <f t="shared" si="6"/>
        <v>5.61561768747946E-2</v>
      </c>
      <c r="T31" s="9">
        <f t="shared" si="7"/>
        <v>0.27682194670328231</v>
      </c>
      <c r="U31" s="10">
        <f t="shared" si="8"/>
        <v>0.54188866945532577</v>
      </c>
      <c r="W31" s="3">
        <f t="shared" si="9"/>
        <v>0.41109410424494353</v>
      </c>
      <c r="X31" s="3">
        <f t="shared" si="10"/>
        <v>0.34485151774924844</v>
      </c>
      <c r="Y31" s="3">
        <f t="shared" si="11"/>
        <v>4.1194100691932849E-2</v>
      </c>
      <c r="Z31" s="3">
        <f t="shared" si="12"/>
        <v>0.2028602773138751</v>
      </c>
    </row>
    <row r="32" spans="1:26" x14ac:dyDescent="0.25">
      <c r="A32" t="s">
        <v>61</v>
      </c>
      <c r="B32" s="1">
        <v>0.39737821415672425</v>
      </c>
      <c r="C32" s="1">
        <v>0.17402375903752038</v>
      </c>
      <c r="D32" s="1">
        <v>5.8991999565796531E-3</v>
      </c>
      <c r="E32" s="1">
        <v>6.2475155376190625E-2</v>
      </c>
      <c r="F32" s="1">
        <v>0.26311781698055237</v>
      </c>
      <c r="G32" s="1">
        <v>4.2626536990114386E-2</v>
      </c>
      <c r="H32" s="1">
        <v>8.4589997172149281E-3</v>
      </c>
      <c r="I32" s="1">
        <v>0</v>
      </c>
      <c r="J32" s="1">
        <v>1.8850046047133102E-2</v>
      </c>
      <c r="K32" s="1">
        <v>3.8074248815740744E-2</v>
      </c>
      <c r="M32" s="3">
        <f t="shared" si="1"/>
        <v>0.69544424555502538</v>
      </c>
      <c r="N32" s="4">
        <f t="shared" si="2"/>
        <v>0.30455575444497462</v>
      </c>
      <c r="O32" s="1">
        <f t="shared" si="3"/>
        <v>0.57140197319424457</v>
      </c>
      <c r="P32" s="1">
        <f t="shared" si="4"/>
        <v>0.26311781698055237</v>
      </c>
      <c r="Q32" s="1">
        <f t="shared" si="5"/>
        <v>5.1085536707329314E-2</v>
      </c>
      <c r="R32" s="1">
        <f t="shared" si="6"/>
        <v>0.12529865019564412</v>
      </c>
      <c r="T32" s="9">
        <f t="shared" si="7"/>
        <v>1.0109039770777704</v>
      </c>
      <c r="U32" s="10">
        <f t="shared" si="8"/>
        <v>1.9788799898619989</v>
      </c>
      <c r="W32" s="3">
        <f t="shared" si="9"/>
        <v>0.5652386241925782</v>
      </c>
      <c r="X32" s="3">
        <f t="shared" si="10"/>
        <v>0.26027973274093702</v>
      </c>
      <c r="Y32" s="3">
        <f t="shared" si="11"/>
        <v>5.0534509573305623E-2</v>
      </c>
      <c r="Z32" s="3">
        <f t="shared" si="12"/>
        <v>0.12394713349317915</v>
      </c>
    </row>
    <row r="33" spans="1:26" x14ac:dyDescent="0.25">
      <c r="A33" t="s">
        <v>62</v>
      </c>
      <c r="B33" s="1">
        <v>0</v>
      </c>
      <c r="C33" s="1">
        <v>0</v>
      </c>
      <c r="D33" s="1">
        <v>3.4987944299356491E-3</v>
      </c>
      <c r="E33" s="1">
        <v>4.2334608450064291E-3</v>
      </c>
      <c r="F33" s="1">
        <v>8.6205929013480793E-3</v>
      </c>
      <c r="G33" s="1">
        <v>0</v>
      </c>
      <c r="H33" s="1">
        <v>0</v>
      </c>
      <c r="I33" s="1">
        <v>5.815971373144331E-3</v>
      </c>
      <c r="J33" s="1">
        <v>0</v>
      </c>
      <c r="K33" s="1">
        <v>0</v>
      </c>
      <c r="M33" s="3"/>
      <c r="N33" s="4"/>
      <c r="O33" s="1">
        <f t="shared" si="3"/>
        <v>0</v>
      </c>
      <c r="P33" s="1">
        <f t="shared" si="4"/>
        <v>8.6205929013480793E-3</v>
      </c>
      <c r="Q33" s="1">
        <f t="shared" si="5"/>
        <v>0</v>
      </c>
      <c r="R33" s="1">
        <f t="shared" si="6"/>
        <v>1.3548226648086409E-2</v>
      </c>
      <c r="T33" s="9">
        <f t="shared" si="7"/>
        <v>2.216881954943449E-2</v>
      </c>
      <c r="U33" s="10">
        <f t="shared" si="8"/>
        <v>4.3396241779611149E-2</v>
      </c>
      <c r="W33" s="3">
        <f t="shared" si="9"/>
        <v>0</v>
      </c>
      <c r="X33" s="3">
        <f t="shared" si="10"/>
        <v>0.3888611607002766</v>
      </c>
      <c r="Y33" s="3">
        <f t="shared" si="11"/>
        <v>0</v>
      </c>
      <c r="Z33" s="3">
        <f t="shared" si="12"/>
        <v>0.61113883929972335</v>
      </c>
    </row>
    <row r="34" spans="1:26" x14ac:dyDescent="0.25">
      <c r="A34" t="s">
        <v>63</v>
      </c>
      <c r="B34" s="1">
        <v>3.9709394917186003E-2</v>
      </c>
      <c r="C34" s="1">
        <v>1.9972547813298686E-2</v>
      </c>
      <c r="D34" s="1">
        <v>2.4014484084282674E-3</v>
      </c>
      <c r="E34" s="1">
        <v>2.6771640107509567E-2</v>
      </c>
      <c r="F34" s="1">
        <v>3.8338359503103367E-2</v>
      </c>
      <c r="G34" s="1">
        <v>1.9528352652280437E-2</v>
      </c>
      <c r="H34" s="1">
        <v>0</v>
      </c>
      <c r="I34" s="1">
        <v>0</v>
      </c>
      <c r="J34" s="1">
        <v>0</v>
      </c>
      <c r="K34" s="1">
        <v>0</v>
      </c>
      <c r="M34" s="3">
        <f t="shared" si="1"/>
        <v>0.66535023996299991</v>
      </c>
      <c r="N34" s="4">
        <f t="shared" si="2"/>
        <v>0.33464976003700009</v>
      </c>
      <c r="O34" s="1">
        <f t="shared" si="3"/>
        <v>5.9681942730484688E-2</v>
      </c>
      <c r="P34" s="1">
        <f t="shared" si="4"/>
        <v>3.8338359503103367E-2</v>
      </c>
      <c r="Q34" s="1">
        <f t="shared" si="5"/>
        <v>1.9528352652280437E-2</v>
      </c>
      <c r="R34" s="1">
        <f t="shared" si="6"/>
        <v>2.9173088515937834E-2</v>
      </c>
      <c r="T34" s="9">
        <f t="shared" si="7"/>
        <v>0.14672174340180633</v>
      </c>
      <c r="U34" s="10">
        <f t="shared" si="8"/>
        <v>0.28721295857872031</v>
      </c>
      <c r="W34" s="3">
        <f t="shared" si="9"/>
        <v>0.40676958538477898</v>
      </c>
      <c r="X34" s="3">
        <f t="shared" si="10"/>
        <v>0.26129978157437417</v>
      </c>
      <c r="Y34" s="3">
        <f t="shared" si="11"/>
        <v>0.13309787765267256</v>
      </c>
      <c r="Z34" s="3">
        <f t="shared" si="12"/>
        <v>0.1988327553881743</v>
      </c>
    </row>
    <row r="35" spans="1:26" x14ac:dyDescent="0.25">
      <c r="A35" t="s">
        <v>64</v>
      </c>
      <c r="B35" s="1">
        <v>0</v>
      </c>
      <c r="C35" s="1">
        <v>3.951619017544053E-3</v>
      </c>
      <c r="D35" s="1">
        <v>0</v>
      </c>
      <c r="E35" s="1">
        <v>1.6872636665390323E-2</v>
      </c>
      <c r="F35" s="1">
        <v>5.1091094137563756E-2</v>
      </c>
      <c r="G35" s="1">
        <v>0</v>
      </c>
      <c r="H35" s="1">
        <v>7.2391670611659034E-3</v>
      </c>
      <c r="I35" s="1">
        <v>0</v>
      </c>
      <c r="J35" s="1">
        <v>0</v>
      </c>
      <c r="K35" s="1">
        <v>0</v>
      </c>
      <c r="M35" s="3">
        <f t="shared" si="1"/>
        <v>0</v>
      </c>
      <c r="N35" s="4">
        <f t="shared" si="2"/>
        <v>1</v>
      </c>
      <c r="O35" s="1">
        <f t="shared" si="3"/>
        <v>3.951619017544053E-3</v>
      </c>
      <c r="P35" s="1">
        <f t="shared" si="4"/>
        <v>5.1091094137563756E-2</v>
      </c>
      <c r="Q35" s="1">
        <f t="shared" si="5"/>
        <v>7.2391670611659034E-3</v>
      </c>
      <c r="R35" s="1">
        <f t="shared" si="6"/>
        <v>1.6872636665390323E-2</v>
      </c>
      <c r="T35" s="9">
        <f t="shared" si="7"/>
        <v>7.9154516881664028E-2</v>
      </c>
      <c r="U35" s="10">
        <f t="shared" si="8"/>
        <v>0.15494774292718841</v>
      </c>
      <c r="W35" s="3">
        <f t="shared" si="9"/>
        <v>4.9922849298059915E-2</v>
      </c>
      <c r="X35" s="3">
        <f t="shared" si="10"/>
        <v>0.64546024851550698</v>
      </c>
      <c r="Y35" s="3">
        <f t="shared" si="11"/>
        <v>9.1456146109620703E-2</v>
      </c>
      <c r="Z35" s="3">
        <f t="shared" si="12"/>
        <v>0.21316075607681251</v>
      </c>
    </row>
    <row r="36" spans="1:26" x14ac:dyDescent="0.25">
      <c r="A36" t="s">
        <v>65</v>
      </c>
      <c r="B36" s="1">
        <v>6.2548119854310275E-3</v>
      </c>
      <c r="C36" s="1">
        <v>0</v>
      </c>
      <c r="D36" s="1">
        <v>0</v>
      </c>
      <c r="E36" s="1">
        <v>5.0989832782535535E-4</v>
      </c>
      <c r="F36" s="1">
        <v>1.0773897910405523E-2</v>
      </c>
      <c r="G36" s="1">
        <v>0</v>
      </c>
      <c r="H36" s="1">
        <v>0</v>
      </c>
      <c r="I36" s="1">
        <v>2.6695641832566452E-4</v>
      </c>
      <c r="J36" s="1">
        <v>0</v>
      </c>
      <c r="K36" s="1">
        <v>0</v>
      </c>
      <c r="M36" s="3">
        <f t="shared" si="1"/>
        <v>1</v>
      </c>
      <c r="N36" s="4">
        <f t="shared" si="2"/>
        <v>0</v>
      </c>
      <c r="O36" s="1">
        <f t="shared" si="3"/>
        <v>6.2548119854310275E-3</v>
      </c>
      <c r="P36" s="1">
        <f t="shared" si="4"/>
        <v>1.0773897910405523E-2</v>
      </c>
      <c r="Q36" s="1">
        <f t="shared" si="5"/>
        <v>0</v>
      </c>
      <c r="R36" s="1">
        <f t="shared" si="6"/>
        <v>7.7685474615101988E-4</v>
      </c>
      <c r="T36" s="9">
        <f t="shared" si="7"/>
        <v>1.780556464198757E-2</v>
      </c>
      <c r="U36" s="10">
        <f t="shared" si="8"/>
        <v>3.4855017268878387E-2</v>
      </c>
      <c r="W36" s="3">
        <f t="shared" si="9"/>
        <v>0.35128411320815184</v>
      </c>
      <c r="X36" s="3">
        <f t="shared" si="10"/>
        <v>0.60508600131665757</v>
      </c>
      <c r="Y36" s="3">
        <f t="shared" si="11"/>
        <v>0</v>
      </c>
      <c r="Z36" s="3">
        <f t="shared" si="12"/>
        <v>4.3629885475190547E-2</v>
      </c>
    </row>
    <row r="37" spans="1:26" x14ac:dyDescent="0.25">
      <c r="A37" t="s">
        <v>66</v>
      </c>
      <c r="B37" s="1">
        <v>2.9131240371049416E-2</v>
      </c>
      <c r="C37" s="1">
        <v>2.1151822912629792E-3</v>
      </c>
      <c r="D37" s="1">
        <v>5.9228242430315707E-3</v>
      </c>
      <c r="E37" s="1">
        <v>8.4700287933925839E-2</v>
      </c>
      <c r="F37" s="1">
        <v>5.3131160247070597E-2</v>
      </c>
      <c r="G37" s="1">
        <v>3.8495873253962115E-3</v>
      </c>
      <c r="H37" s="1">
        <v>2.2811265670993064E-3</v>
      </c>
      <c r="I37" s="1">
        <v>0</v>
      </c>
      <c r="J37" s="1">
        <v>0</v>
      </c>
      <c r="K37" s="1">
        <v>0</v>
      </c>
      <c r="M37" s="3">
        <f t="shared" si="1"/>
        <v>0.93230641746985687</v>
      </c>
      <c r="N37" s="4">
        <f t="shared" si="2"/>
        <v>6.7693582530143126E-2</v>
      </c>
      <c r="O37" s="1">
        <f t="shared" si="3"/>
        <v>3.1246422662312395E-2</v>
      </c>
      <c r="P37" s="1">
        <f t="shared" si="4"/>
        <v>5.3131160247070597E-2</v>
      </c>
      <c r="Q37" s="1">
        <f t="shared" si="5"/>
        <v>6.1307138924955179E-3</v>
      </c>
      <c r="R37" s="1">
        <f t="shared" si="6"/>
        <v>9.0623112176957413E-2</v>
      </c>
      <c r="T37" s="9">
        <f t="shared" si="7"/>
        <v>0.18113140897883592</v>
      </c>
      <c r="U37" s="10">
        <f t="shared" si="8"/>
        <v>0.35457108577203006</v>
      </c>
      <c r="W37" s="3">
        <f t="shared" si="9"/>
        <v>0.17250692653731495</v>
      </c>
      <c r="X37" s="3">
        <f t="shared" si="10"/>
        <v>0.29332935986424441</v>
      </c>
      <c r="Y37" s="3">
        <f t="shared" si="11"/>
        <v>3.3846774157274148E-2</v>
      </c>
      <c r="Z37" s="3">
        <f t="shared" si="12"/>
        <v>0.50031693944116651</v>
      </c>
    </row>
    <row r="38" spans="1:26" x14ac:dyDescent="0.25">
      <c r="A38" t="s">
        <v>67</v>
      </c>
      <c r="B38" s="1">
        <v>0.13620115613161449</v>
      </c>
      <c r="C38" s="1">
        <v>4.1822030977687455E-2</v>
      </c>
      <c r="D38" s="1">
        <v>4.1314975415675248E-3</v>
      </c>
      <c r="E38" s="1">
        <v>8.7357317370342052E-2</v>
      </c>
      <c r="F38" s="1">
        <v>0.124387876784029</v>
      </c>
      <c r="G38" s="1">
        <v>1.2223892116220228E-2</v>
      </c>
      <c r="H38" s="1">
        <v>9.4661878700215037E-3</v>
      </c>
      <c r="I38" s="1">
        <v>0</v>
      </c>
      <c r="J38" s="1">
        <v>0</v>
      </c>
      <c r="K38" s="1">
        <v>0</v>
      </c>
      <c r="M38" s="3">
        <f t="shared" si="1"/>
        <v>0.76507537216480836</v>
      </c>
      <c r="N38" s="4">
        <f t="shared" si="2"/>
        <v>0.23492462783519164</v>
      </c>
      <c r="O38" s="1">
        <f t="shared" si="3"/>
        <v>0.17802318710930193</v>
      </c>
      <c r="P38" s="1">
        <f t="shared" si="4"/>
        <v>0.124387876784029</v>
      </c>
      <c r="Q38" s="1">
        <f t="shared" si="5"/>
        <v>2.1690079986241732E-2</v>
      </c>
      <c r="R38" s="1">
        <f t="shared" si="6"/>
        <v>9.1488814911909577E-2</v>
      </c>
      <c r="T38" s="9">
        <f t="shared" si="7"/>
        <v>0.41558995879148225</v>
      </c>
      <c r="U38" s="10">
        <f t="shared" si="8"/>
        <v>0.81353192003197383</v>
      </c>
      <c r="W38" s="3">
        <f t="shared" si="9"/>
        <v>0.42836258033515945</v>
      </c>
      <c r="X38" s="3">
        <f t="shared" si="10"/>
        <v>0.29930433628796904</v>
      </c>
      <c r="Y38" s="3">
        <f t="shared" si="11"/>
        <v>5.2191058824702007E-2</v>
      </c>
      <c r="Z38" s="3">
        <f t="shared" si="12"/>
        <v>0.22014202455216944</v>
      </c>
    </row>
    <row r="39" spans="1:26" x14ac:dyDescent="0.25">
      <c r="A39" t="s">
        <v>68</v>
      </c>
      <c r="B39" s="1">
        <v>4.5331130885915977E-2</v>
      </c>
      <c r="C39" s="1">
        <v>1.8215944534385499E-2</v>
      </c>
      <c r="D39" s="1">
        <v>1.4658737291747097E-3</v>
      </c>
      <c r="E39" s="1">
        <v>2.9139737581839641E-2</v>
      </c>
      <c r="F39" s="1">
        <v>5.656237215836657E-2</v>
      </c>
      <c r="G39" s="1">
        <v>3.7601376397482025E-3</v>
      </c>
      <c r="H39" s="1">
        <v>0</v>
      </c>
      <c r="I39" s="1">
        <v>0</v>
      </c>
      <c r="J39" s="1">
        <v>0</v>
      </c>
      <c r="K39" s="1">
        <v>0</v>
      </c>
      <c r="M39" s="3">
        <f t="shared" si="1"/>
        <v>0.71334724038982256</v>
      </c>
      <c r="N39" s="4">
        <f t="shared" si="2"/>
        <v>0.28665275961017744</v>
      </c>
      <c r="O39" s="1">
        <f t="shared" si="3"/>
        <v>6.3547075420301469E-2</v>
      </c>
      <c r="P39" s="1">
        <f t="shared" si="4"/>
        <v>5.656237215836657E-2</v>
      </c>
      <c r="Q39" s="1">
        <f t="shared" si="5"/>
        <v>3.7601376397482025E-3</v>
      </c>
      <c r="R39" s="1">
        <f t="shared" si="6"/>
        <v>3.0605611311014351E-2</v>
      </c>
      <c r="T39" s="9">
        <f t="shared" si="7"/>
        <v>0.15447519652943059</v>
      </c>
      <c r="U39" s="10">
        <f t="shared" si="8"/>
        <v>0.30239061500751507</v>
      </c>
      <c r="W39" s="3">
        <f t="shared" si="9"/>
        <v>0.41137397360873068</v>
      </c>
      <c r="X39" s="3">
        <f t="shared" si="10"/>
        <v>0.36615827931696671</v>
      </c>
      <c r="Y39" s="3">
        <f t="shared" si="11"/>
        <v>2.4341368221090572E-2</v>
      </c>
      <c r="Z39" s="3">
        <f t="shared" si="12"/>
        <v>0.19812637885321205</v>
      </c>
    </row>
    <row r="40" spans="1:26" x14ac:dyDescent="0.25">
      <c r="A40" t="s">
        <v>69</v>
      </c>
      <c r="B40" s="1">
        <v>0</v>
      </c>
      <c r="C40" s="1">
        <v>1.4765619738079175E-3</v>
      </c>
      <c r="D40" s="1">
        <v>1.8387892191774648E-3</v>
      </c>
      <c r="E40" s="1">
        <v>7.0383978035156516E-3</v>
      </c>
      <c r="F40" s="1">
        <v>0</v>
      </c>
      <c r="G40" s="1">
        <v>0</v>
      </c>
      <c r="H40" s="1">
        <v>6.9530945495706806E-3</v>
      </c>
      <c r="I40" s="1">
        <v>0</v>
      </c>
      <c r="J40" s="1">
        <v>0</v>
      </c>
      <c r="K40" s="1">
        <v>0</v>
      </c>
      <c r="M40" s="3">
        <f t="shared" si="1"/>
        <v>0</v>
      </c>
      <c r="N40" s="4">
        <f t="shared" si="2"/>
        <v>1</v>
      </c>
      <c r="O40" s="1">
        <f t="shared" si="3"/>
        <v>1.4765619738079175E-3</v>
      </c>
      <c r="P40" s="1">
        <f t="shared" si="4"/>
        <v>0</v>
      </c>
      <c r="Q40" s="1">
        <f t="shared" si="5"/>
        <v>6.9530945495706806E-3</v>
      </c>
      <c r="R40" s="1">
        <f t="shared" si="6"/>
        <v>8.8771870226931164E-3</v>
      </c>
      <c r="T40" s="9">
        <f t="shared" si="7"/>
        <v>1.7306843546071714E-2</v>
      </c>
      <c r="U40" s="10">
        <f t="shared" si="8"/>
        <v>3.3878753232324886E-2</v>
      </c>
      <c r="W40" s="3">
        <f t="shared" si="9"/>
        <v>8.5316653488964236E-2</v>
      </c>
      <c r="X40" s="3">
        <f t="shared" si="10"/>
        <v>0</v>
      </c>
      <c r="Y40" s="3">
        <f t="shared" si="11"/>
        <v>0.40175405359511007</v>
      </c>
      <c r="Z40" s="3">
        <f t="shared" si="12"/>
        <v>0.51292929291592571</v>
      </c>
    </row>
    <row r="41" spans="1:26" x14ac:dyDescent="0.25">
      <c r="A41" t="s">
        <v>70</v>
      </c>
      <c r="B41" s="1">
        <v>2.298222228712879E-2</v>
      </c>
      <c r="C41" s="1">
        <v>5.297587852697308E-3</v>
      </c>
      <c r="D41" s="1">
        <v>3.5349845974591877E-3</v>
      </c>
      <c r="E41" s="1">
        <v>5.357755924500715E-2</v>
      </c>
      <c r="F41" s="1">
        <v>6.8297939850378409E-2</v>
      </c>
      <c r="G41" s="1">
        <v>0</v>
      </c>
      <c r="H41" s="1">
        <v>0</v>
      </c>
      <c r="I41" s="1">
        <v>0</v>
      </c>
      <c r="J41" s="1">
        <v>9.6097217633623975E-3</v>
      </c>
      <c r="K41" s="1">
        <v>0</v>
      </c>
      <c r="M41" s="3">
        <f t="shared" si="1"/>
        <v>0.81267243922416643</v>
      </c>
      <c r="N41" s="4">
        <f t="shared" si="2"/>
        <v>0.18732756077583357</v>
      </c>
      <c r="O41" s="1">
        <f t="shared" si="3"/>
        <v>2.8279810139826098E-2</v>
      </c>
      <c r="P41" s="1">
        <f t="shared" si="4"/>
        <v>6.8297939850378409E-2</v>
      </c>
      <c r="Q41" s="1">
        <f t="shared" si="5"/>
        <v>0</v>
      </c>
      <c r="R41" s="1">
        <f t="shared" si="6"/>
        <v>6.6722265605828737E-2</v>
      </c>
      <c r="T41" s="9">
        <f t="shared" si="7"/>
        <v>0.16330001559603324</v>
      </c>
      <c r="U41" s="10">
        <f t="shared" si="8"/>
        <v>0.3196655078371326</v>
      </c>
      <c r="W41" s="3">
        <f t="shared" si="9"/>
        <v>0.17317702044673319</v>
      </c>
      <c r="X41" s="3">
        <f t="shared" si="10"/>
        <v>0.418235966488404</v>
      </c>
      <c r="Y41" s="3">
        <f t="shared" si="11"/>
        <v>0</v>
      </c>
      <c r="Z41" s="3">
        <f t="shared" si="12"/>
        <v>0.40858701306486284</v>
      </c>
    </row>
    <row r="42" spans="1:26" x14ac:dyDescent="0.25">
      <c r="A42" t="s">
        <v>71</v>
      </c>
      <c r="B42" s="1">
        <v>5.5848745691599033E-3</v>
      </c>
      <c r="C42" s="1">
        <v>9.7272401324512911E-3</v>
      </c>
      <c r="D42" s="1">
        <v>0</v>
      </c>
      <c r="E42" s="1">
        <v>7.2980431986055111E-3</v>
      </c>
      <c r="F42" s="1">
        <v>8.1862603020811595E-3</v>
      </c>
      <c r="G42" s="1">
        <v>1.1942880345644634E-2</v>
      </c>
      <c r="H42" s="1">
        <v>5.2681075175347522E-3</v>
      </c>
      <c r="I42" s="1">
        <v>3.0012538913345294E-4</v>
      </c>
      <c r="J42" s="1">
        <v>0</v>
      </c>
      <c r="K42" s="1">
        <v>4.5603004230094094E-3</v>
      </c>
      <c r="M42" s="3">
        <f t="shared" si="1"/>
        <v>0.36473568008031204</v>
      </c>
      <c r="N42" s="4">
        <f t="shared" si="2"/>
        <v>0.6352643199196879</v>
      </c>
      <c r="O42" s="1">
        <f t="shared" si="3"/>
        <v>1.5312114701611194E-2</v>
      </c>
      <c r="P42" s="1">
        <f t="shared" si="4"/>
        <v>8.1862603020811595E-3</v>
      </c>
      <c r="Q42" s="1">
        <f t="shared" si="5"/>
        <v>1.7210987863179386E-2</v>
      </c>
      <c r="R42" s="1">
        <f t="shared" si="6"/>
        <v>1.2158469010748373E-2</v>
      </c>
      <c r="T42" s="9">
        <f t="shared" si="7"/>
        <v>5.2867831877620113E-2</v>
      </c>
      <c r="U42" s="10">
        <f t="shared" si="8"/>
        <v>0.10349063509714755</v>
      </c>
      <c r="W42" s="3">
        <f t="shared" si="9"/>
        <v>0.28963008615628671</v>
      </c>
      <c r="X42" s="3">
        <f t="shared" si="10"/>
        <v>0.15484388164490906</v>
      </c>
      <c r="Y42" s="3">
        <f t="shared" si="11"/>
        <v>0.32554745015872499</v>
      </c>
      <c r="Z42" s="3">
        <f t="shared" si="12"/>
        <v>0.22997858204007923</v>
      </c>
    </row>
    <row r="43" spans="1:26" x14ac:dyDescent="0.25">
      <c r="A43" t="s">
        <v>72</v>
      </c>
      <c r="B43" s="1">
        <v>0</v>
      </c>
      <c r="C43" s="1">
        <v>4.5748354293181012E-3</v>
      </c>
      <c r="D43" s="1">
        <v>0</v>
      </c>
      <c r="E43" s="1">
        <v>9.6717213493196195E-4</v>
      </c>
      <c r="F43" s="1">
        <v>3.6079755744419309E-3</v>
      </c>
      <c r="G43" s="1">
        <v>9.7923352764935079E-5</v>
      </c>
      <c r="H43" s="1">
        <v>5.5984130880411299E-3</v>
      </c>
      <c r="I43" s="1">
        <v>0</v>
      </c>
      <c r="J43" s="1">
        <v>0</v>
      </c>
      <c r="K43" s="1">
        <v>0</v>
      </c>
      <c r="M43" s="3">
        <f t="shared" si="1"/>
        <v>0</v>
      </c>
      <c r="N43" s="4">
        <f t="shared" si="2"/>
        <v>1</v>
      </c>
      <c r="O43" s="1">
        <f t="shared" si="3"/>
        <v>4.5748354293181012E-3</v>
      </c>
      <c r="P43" s="1">
        <f t="shared" si="4"/>
        <v>3.6079755744419309E-3</v>
      </c>
      <c r="Q43" s="1">
        <f t="shared" si="5"/>
        <v>5.696336440806065E-3</v>
      </c>
      <c r="R43" s="1">
        <f t="shared" si="6"/>
        <v>9.6717213493196195E-4</v>
      </c>
      <c r="T43" s="9">
        <f t="shared" si="7"/>
        <v>1.4846319579498059E-2</v>
      </c>
      <c r="U43" s="10">
        <f t="shared" si="8"/>
        <v>2.9062191271510784E-2</v>
      </c>
      <c r="W43" s="3">
        <f t="shared" si="9"/>
        <v>0.3081460967360351</v>
      </c>
      <c r="X43" s="3">
        <f t="shared" si="10"/>
        <v>0.24302154854758376</v>
      </c>
      <c r="Y43" s="3">
        <f t="shared" si="11"/>
        <v>0.38368677235483928</v>
      </c>
      <c r="Z43" s="3">
        <f t="shared" si="12"/>
        <v>6.5145582361541832E-2</v>
      </c>
    </row>
    <row r="44" spans="1:26" x14ac:dyDescent="0.25">
      <c r="A44" t="s">
        <v>73</v>
      </c>
      <c r="B44" s="1">
        <v>2.9911677460913361E-2</v>
      </c>
      <c r="C44" s="1">
        <v>5.7461433953364213E-2</v>
      </c>
      <c r="D44" s="1">
        <v>0</v>
      </c>
      <c r="E44" s="1">
        <v>5.6373736650557948E-2</v>
      </c>
      <c r="F44" s="1">
        <v>2.4437521875430069E-2</v>
      </c>
      <c r="G44" s="1">
        <v>0.11711738066525307</v>
      </c>
      <c r="H44" s="1">
        <v>0</v>
      </c>
      <c r="I44" s="1">
        <v>0</v>
      </c>
      <c r="J44" s="1">
        <v>0</v>
      </c>
      <c r="K44" s="1">
        <v>0</v>
      </c>
      <c r="M44" s="3">
        <f t="shared" si="1"/>
        <v>0.34234419464688443</v>
      </c>
      <c r="N44" s="4">
        <f t="shared" si="2"/>
        <v>0.65765580535311563</v>
      </c>
      <c r="O44" s="1">
        <f t="shared" si="3"/>
        <v>8.7373111414277574E-2</v>
      </c>
      <c r="P44" s="1">
        <f t="shared" si="4"/>
        <v>2.4437521875430069E-2</v>
      </c>
      <c r="Q44" s="1">
        <f t="shared" si="5"/>
        <v>0.11711738066525307</v>
      </c>
      <c r="R44" s="1">
        <f t="shared" si="6"/>
        <v>5.6373736650557948E-2</v>
      </c>
      <c r="T44" s="9">
        <f t="shared" si="7"/>
        <v>0.28530175060551866</v>
      </c>
      <c r="U44" s="10">
        <f t="shared" si="8"/>
        <v>0.5584881830002193</v>
      </c>
      <c r="W44" s="3">
        <f t="shared" si="9"/>
        <v>0.30624807323768133</v>
      </c>
      <c r="X44" s="3">
        <f t="shared" si="10"/>
        <v>8.5655001497762867E-2</v>
      </c>
      <c r="Y44" s="3">
        <f t="shared" si="11"/>
        <v>0.41050354726771043</v>
      </c>
      <c r="Z44" s="3">
        <f t="shared" si="12"/>
        <v>0.19759337799684534</v>
      </c>
    </row>
    <row r="45" spans="1:26" x14ac:dyDescent="0.25">
      <c r="A45" t="s">
        <v>74</v>
      </c>
      <c r="B45" s="1">
        <v>3.9555212670201151E-2</v>
      </c>
      <c r="C45" s="1">
        <v>6.1455371353529423E-2</v>
      </c>
      <c r="D45" s="1">
        <v>0</v>
      </c>
      <c r="E45" s="1">
        <v>4.5342679861461434E-2</v>
      </c>
      <c r="F45" s="1">
        <v>5.4591980290950186E-2</v>
      </c>
      <c r="G45" s="1">
        <v>9.5337706131762637E-2</v>
      </c>
      <c r="H45" s="1">
        <v>0</v>
      </c>
      <c r="I45" s="1">
        <v>0</v>
      </c>
      <c r="J45" s="1">
        <v>0</v>
      </c>
      <c r="K45" s="1">
        <v>0</v>
      </c>
      <c r="M45" s="3">
        <f t="shared" si="1"/>
        <v>0.39159473289361818</v>
      </c>
      <c r="N45" s="4">
        <f t="shared" si="2"/>
        <v>0.60840526710638176</v>
      </c>
      <c r="O45" s="1">
        <f t="shared" si="3"/>
        <v>0.10101058402373057</v>
      </c>
      <c r="P45" s="1">
        <f t="shared" si="4"/>
        <v>5.4591980290950186E-2</v>
      </c>
      <c r="Q45" s="1">
        <f t="shared" si="5"/>
        <v>9.5337706131762637E-2</v>
      </c>
      <c r="R45" s="1">
        <f t="shared" si="6"/>
        <v>4.5342679861461434E-2</v>
      </c>
      <c r="T45" s="9">
        <f t="shared" si="7"/>
        <v>0.29628295030790486</v>
      </c>
      <c r="U45" s="10">
        <f t="shared" si="8"/>
        <v>0.57998426655362179</v>
      </c>
      <c r="W45" s="3">
        <f t="shared" si="9"/>
        <v>0.34092607731480257</v>
      </c>
      <c r="X45" s="3">
        <f t="shared" si="10"/>
        <v>0.18425623288217158</v>
      </c>
      <c r="Y45" s="3">
        <f t="shared" si="11"/>
        <v>0.32177925200449514</v>
      </c>
      <c r="Z45" s="3">
        <f t="shared" si="12"/>
        <v>0.1530384377985306</v>
      </c>
    </row>
    <row r="46" spans="1:26" x14ac:dyDescent="0.25">
      <c r="A46" t="s">
        <v>75</v>
      </c>
      <c r="B46" s="1">
        <v>3.4724188476316725E-2</v>
      </c>
      <c r="C46" s="1">
        <v>0.11718432804691241</v>
      </c>
      <c r="D46" s="1">
        <v>5.7946839554133059E-3</v>
      </c>
      <c r="E46" s="1">
        <v>5.532509380330293E-2</v>
      </c>
      <c r="F46" s="1">
        <v>7.1493933576547264E-2</v>
      </c>
      <c r="G46" s="1">
        <v>0.22561495284899627</v>
      </c>
      <c r="H46" s="1">
        <v>0</v>
      </c>
      <c r="I46" s="1">
        <v>2.8945920378284848E-3</v>
      </c>
      <c r="J46" s="1">
        <v>0</v>
      </c>
      <c r="K46" s="1">
        <v>0</v>
      </c>
      <c r="M46" s="3">
        <f t="shared" si="1"/>
        <v>0.22858618641705233</v>
      </c>
      <c r="N46" s="4">
        <f t="shared" si="2"/>
        <v>0.77141381358294769</v>
      </c>
      <c r="O46" s="1">
        <f t="shared" si="3"/>
        <v>0.15190851652322912</v>
      </c>
      <c r="P46" s="1">
        <f t="shared" si="4"/>
        <v>7.1493933576547264E-2</v>
      </c>
      <c r="Q46" s="1">
        <f t="shared" si="5"/>
        <v>0.22561495284899627</v>
      </c>
      <c r="R46" s="1">
        <f t="shared" si="6"/>
        <v>6.4014369796544721E-2</v>
      </c>
      <c r="T46" s="9">
        <f t="shared" si="7"/>
        <v>0.51303177274531742</v>
      </c>
      <c r="U46" s="10">
        <f t="shared" si="8"/>
        <v>1.0042776883555915</v>
      </c>
      <c r="W46" s="3">
        <f t="shared" si="9"/>
        <v>0.29609962694969488</v>
      </c>
      <c r="X46" s="3">
        <f t="shared" si="10"/>
        <v>0.13935576191309063</v>
      </c>
      <c r="Y46" s="3">
        <f t="shared" si="11"/>
        <v>0.43976799261709182</v>
      </c>
      <c r="Z46" s="3">
        <f t="shared" si="12"/>
        <v>0.12477661852012263</v>
      </c>
    </row>
    <row r="47" spans="1:26" x14ac:dyDescent="0.25">
      <c r="A47" t="s">
        <v>76</v>
      </c>
      <c r="B47" s="1">
        <v>6.2881350575483136E-2</v>
      </c>
      <c r="C47" s="1">
        <v>2.6351046762901286E-3</v>
      </c>
      <c r="D47" s="1">
        <v>4.2666044305459819E-3</v>
      </c>
      <c r="E47" s="1">
        <v>2.8631886041973451E-2</v>
      </c>
      <c r="F47" s="1">
        <v>4.9522254465105657E-2</v>
      </c>
      <c r="G47" s="1">
        <v>9.4329383554503307E-3</v>
      </c>
      <c r="H47" s="1">
        <v>0</v>
      </c>
      <c r="I47" s="1">
        <v>0</v>
      </c>
      <c r="J47" s="1">
        <v>0</v>
      </c>
      <c r="K47" s="1">
        <v>0</v>
      </c>
      <c r="M47" s="3">
        <f t="shared" si="1"/>
        <v>0.95977949865932632</v>
      </c>
      <c r="N47" s="4">
        <f t="shared" si="2"/>
        <v>4.0220501340673676E-2</v>
      </c>
      <c r="O47" s="1">
        <f t="shared" si="3"/>
        <v>6.551645525177327E-2</v>
      </c>
      <c r="P47" s="1">
        <f t="shared" si="4"/>
        <v>4.9522254465105657E-2</v>
      </c>
      <c r="Q47" s="1">
        <f t="shared" si="5"/>
        <v>9.4329383554503307E-3</v>
      </c>
      <c r="R47" s="1">
        <f t="shared" si="6"/>
        <v>3.2898490472519436E-2</v>
      </c>
      <c r="T47" s="9">
        <f t="shared" si="7"/>
        <v>0.15737013854484871</v>
      </c>
      <c r="U47" s="10">
        <f t="shared" si="8"/>
        <v>0.30805756553498437</v>
      </c>
      <c r="W47" s="3">
        <f t="shared" si="9"/>
        <v>0.41632075727697104</v>
      </c>
      <c r="X47" s="3">
        <f t="shared" si="10"/>
        <v>0.31468647688196816</v>
      </c>
      <c r="Y47" s="3">
        <f t="shared" si="11"/>
        <v>5.9941094560084215E-2</v>
      </c>
      <c r="Z47" s="3">
        <f t="shared" si="12"/>
        <v>0.20905167128097646</v>
      </c>
    </row>
    <row r="48" spans="1:26" x14ac:dyDescent="0.25">
      <c r="A48" t="s">
        <v>77</v>
      </c>
      <c r="B48" s="1">
        <v>2.31035047118473E-2</v>
      </c>
      <c r="C48" s="1">
        <v>6.4612379384402188E-2</v>
      </c>
      <c r="D48" s="1">
        <v>4.5300869018501562E-3</v>
      </c>
      <c r="E48" s="1">
        <v>2.9054272303697382E-2</v>
      </c>
      <c r="F48" s="1">
        <v>6.3224956480618683E-2</v>
      </c>
      <c r="G48" s="1">
        <v>0.24156470362439916</v>
      </c>
      <c r="H48" s="1">
        <v>0</v>
      </c>
      <c r="I48" s="1">
        <v>1.8671126801724156E-3</v>
      </c>
      <c r="J48" s="1">
        <v>0</v>
      </c>
      <c r="K48" s="1">
        <v>0</v>
      </c>
      <c r="M48" s="3">
        <f t="shared" si="1"/>
        <v>0.26339020520497891</v>
      </c>
      <c r="N48" s="4">
        <f t="shared" si="2"/>
        <v>0.73660979479502109</v>
      </c>
      <c r="O48" s="1">
        <f t="shared" si="3"/>
        <v>8.7715884096249488E-2</v>
      </c>
      <c r="P48" s="1">
        <f t="shared" si="4"/>
        <v>6.3224956480618683E-2</v>
      </c>
      <c r="Q48" s="1">
        <f t="shared" si="5"/>
        <v>0.24156470362439916</v>
      </c>
      <c r="R48" s="1">
        <f t="shared" si="6"/>
        <v>3.5451471885719954E-2</v>
      </c>
      <c r="T48" s="9">
        <f t="shared" si="7"/>
        <v>0.42795701608698733</v>
      </c>
      <c r="U48" s="10">
        <f t="shared" si="8"/>
        <v>0.83774086842912621</v>
      </c>
      <c r="W48" s="3">
        <f t="shared" si="9"/>
        <v>0.20496423892819227</v>
      </c>
      <c r="X48" s="3">
        <f t="shared" si="10"/>
        <v>0.14773669808878062</v>
      </c>
      <c r="Y48" s="3">
        <f t="shared" si="11"/>
        <v>0.56446020171170241</v>
      </c>
      <c r="Z48" s="3">
        <f t="shared" si="12"/>
        <v>8.283886127132456E-2</v>
      </c>
    </row>
    <row r="49" spans="1:26" x14ac:dyDescent="0.25">
      <c r="A49" t="s">
        <v>78</v>
      </c>
      <c r="B49" s="1">
        <v>3.8430260980139214E-2</v>
      </c>
      <c r="C49" s="1">
        <v>3.2568610711621135E-2</v>
      </c>
      <c r="D49" s="1">
        <v>2.2070855042999223E-3</v>
      </c>
      <c r="E49" s="1">
        <v>3.6863707700350051E-2</v>
      </c>
      <c r="F49" s="1">
        <v>2.9615472336816755E-2</v>
      </c>
      <c r="G49" s="1">
        <v>3.8754916287617958E-2</v>
      </c>
      <c r="H49" s="1">
        <v>9.779214221127229E-4</v>
      </c>
      <c r="I49" s="1">
        <v>0</v>
      </c>
      <c r="J49" s="1">
        <v>0</v>
      </c>
      <c r="K49" s="1">
        <v>0</v>
      </c>
      <c r="M49" s="3">
        <f t="shared" si="1"/>
        <v>0.5412798832491752</v>
      </c>
      <c r="N49" s="4">
        <f t="shared" si="2"/>
        <v>0.4587201167508248</v>
      </c>
      <c r="O49" s="1">
        <f t="shared" si="3"/>
        <v>7.0998871691760349E-2</v>
      </c>
      <c r="P49" s="1">
        <f t="shared" si="4"/>
        <v>2.9615472336816755E-2</v>
      </c>
      <c r="Q49" s="1">
        <f t="shared" si="5"/>
        <v>3.9732837709730684E-2</v>
      </c>
      <c r="R49" s="1">
        <f t="shared" si="6"/>
        <v>3.907079320464997E-2</v>
      </c>
      <c r="T49" s="9">
        <f t="shared" si="7"/>
        <v>0.17941797494295775</v>
      </c>
      <c r="U49" s="10">
        <f t="shared" si="8"/>
        <v>0.351216978552718</v>
      </c>
      <c r="W49" s="3">
        <f t="shared" si="9"/>
        <v>0.39571771844115944</v>
      </c>
      <c r="X49" s="3">
        <f t="shared" si="10"/>
        <v>0.16506413220989918</v>
      </c>
      <c r="Y49" s="3">
        <f t="shared" si="11"/>
        <v>0.22145405287493031</v>
      </c>
      <c r="Z49" s="3">
        <f t="shared" si="12"/>
        <v>0.21776409647401118</v>
      </c>
    </row>
    <row r="50" spans="1:26" x14ac:dyDescent="0.25">
      <c r="A50" t="s">
        <v>79</v>
      </c>
      <c r="B50" s="1">
        <v>5.8405003820603818E-4</v>
      </c>
      <c r="C50" s="1">
        <v>5.8999914689455979E-3</v>
      </c>
      <c r="D50" s="1">
        <v>0</v>
      </c>
      <c r="E50" s="1">
        <v>2.6172890279221022E-2</v>
      </c>
      <c r="F50" s="1">
        <v>1.0336030055367967E-2</v>
      </c>
      <c r="G50" s="1">
        <v>0</v>
      </c>
      <c r="H50" s="1">
        <v>3.3386292164675063E-3</v>
      </c>
      <c r="I50" s="1">
        <v>0</v>
      </c>
      <c r="J50" s="1">
        <v>0</v>
      </c>
      <c r="K50" s="1">
        <v>0</v>
      </c>
      <c r="M50" s="3">
        <f t="shared" si="1"/>
        <v>9.0074999915076823E-2</v>
      </c>
      <c r="N50" s="4">
        <f t="shared" si="2"/>
        <v>0.90992500008492316</v>
      </c>
      <c r="O50" s="1">
        <f t="shared" si="3"/>
        <v>6.4840415071516361E-3</v>
      </c>
      <c r="P50" s="1">
        <f t="shared" si="4"/>
        <v>1.0336030055367967E-2</v>
      </c>
      <c r="Q50" s="1">
        <f t="shared" si="5"/>
        <v>3.3386292164675063E-3</v>
      </c>
      <c r="R50" s="1">
        <f t="shared" si="6"/>
        <v>2.6172890279221022E-2</v>
      </c>
      <c r="T50" s="9">
        <f t="shared" si="7"/>
        <v>4.6331591058208131E-2</v>
      </c>
      <c r="U50" s="10">
        <f t="shared" si="8"/>
        <v>9.0695714452119269E-2</v>
      </c>
      <c r="W50" s="3">
        <f t="shared" si="9"/>
        <v>0.1399486043767737</v>
      </c>
      <c r="X50" s="3">
        <f t="shared" si="10"/>
        <v>0.22308817416570956</v>
      </c>
      <c r="Y50" s="3">
        <f t="shared" si="11"/>
        <v>7.205945533519581E-2</v>
      </c>
      <c r="Z50" s="3">
        <f t="shared" si="12"/>
        <v>0.56490376612232096</v>
      </c>
    </row>
    <row r="51" spans="1:26" x14ac:dyDescent="0.25">
      <c r="A51" t="s">
        <v>80</v>
      </c>
      <c r="B51" s="1">
        <v>3.9937717615047552E-4</v>
      </c>
      <c r="C51" s="1">
        <v>0</v>
      </c>
      <c r="D51" s="1">
        <v>0</v>
      </c>
      <c r="E51" s="1">
        <v>3.1674229986210119E-3</v>
      </c>
      <c r="F51" s="1">
        <v>6.1802505135561021E-3</v>
      </c>
      <c r="G51" s="1">
        <v>6.8506520149021685E-3</v>
      </c>
      <c r="H51" s="1">
        <v>3.5993299655199679E-3</v>
      </c>
      <c r="I51" s="1">
        <v>0</v>
      </c>
      <c r="J51" s="1">
        <v>0</v>
      </c>
      <c r="K51" s="1">
        <v>0</v>
      </c>
      <c r="M51" s="3">
        <f t="shared" si="1"/>
        <v>1</v>
      </c>
      <c r="N51" s="4">
        <f t="shared" si="2"/>
        <v>0</v>
      </c>
      <c r="O51" s="1">
        <f t="shared" si="3"/>
        <v>3.9937717615047552E-4</v>
      </c>
      <c r="P51" s="1">
        <f t="shared" si="4"/>
        <v>6.1802505135561021E-3</v>
      </c>
      <c r="Q51" s="1">
        <f t="shared" si="5"/>
        <v>1.0449981980422136E-2</v>
      </c>
      <c r="R51" s="1">
        <f t="shared" si="6"/>
        <v>3.1674229986210119E-3</v>
      </c>
      <c r="T51" s="9">
        <f t="shared" si="7"/>
        <v>2.0197032668749726E-2</v>
      </c>
      <c r="U51" s="10">
        <f t="shared" si="8"/>
        <v>3.9536399805560521E-2</v>
      </c>
      <c r="W51" s="3">
        <f t="shared" si="9"/>
        <v>1.9774052094712908E-2</v>
      </c>
      <c r="X51" s="3">
        <f t="shared" si="10"/>
        <v>0.30599794608039732</v>
      </c>
      <c r="Y51" s="3">
        <f t="shared" si="11"/>
        <v>0.51740184569741698</v>
      </c>
      <c r="Z51" s="3">
        <f t="shared" si="12"/>
        <v>0.15682615612747275</v>
      </c>
    </row>
    <row r="52" spans="1:26" x14ac:dyDescent="0.25">
      <c r="A52" t="s">
        <v>81</v>
      </c>
      <c r="B52" s="1">
        <v>5.2068170489116848E-2</v>
      </c>
      <c r="C52" s="1">
        <v>6.1443807452823277E-3</v>
      </c>
      <c r="D52" s="1">
        <v>1.8768085678866804E-3</v>
      </c>
      <c r="E52" s="1">
        <v>1.6748770508699985E-2</v>
      </c>
      <c r="F52" s="1">
        <v>2.729279411045726E-2</v>
      </c>
      <c r="G52" s="1">
        <v>1.6092580314425581E-3</v>
      </c>
      <c r="H52" s="1">
        <v>0</v>
      </c>
      <c r="I52" s="1">
        <v>0</v>
      </c>
      <c r="J52" s="1">
        <v>0</v>
      </c>
      <c r="K52" s="1">
        <v>0</v>
      </c>
      <c r="M52" s="3">
        <f t="shared" si="1"/>
        <v>0.89444921043674397</v>
      </c>
      <c r="N52" s="4">
        <f t="shared" si="2"/>
        <v>0.10555078956325603</v>
      </c>
      <c r="O52" s="1">
        <f t="shared" si="3"/>
        <v>5.8212551234399175E-2</v>
      </c>
      <c r="P52" s="1">
        <f t="shared" si="4"/>
        <v>2.729279411045726E-2</v>
      </c>
      <c r="Q52" s="1">
        <f t="shared" si="5"/>
        <v>1.6092580314425581E-3</v>
      </c>
      <c r="R52" s="1">
        <f t="shared" si="6"/>
        <v>1.8625579076586664E-2</v>
      </c>
      <c r="T52" s="9">
        <f t="shared" si="7"/>
        <v>0.10574018245288566</v>
      </c>
      <c r="U52" s="10">
        <f t="shared" si="8"/>
        <v>0.20699011570341719</v>
      </c>
      <c r="W52" s="3">
        <f t="shared" si="9"/>
        <v>0.55052440693807925</v>
      </c>
      <c r="X52" s="3">
        <f t="shared" si="10"/>
        <v>0.25811184998302827</v>
      </c>
      <c r="Y52" s="3">
        <f t="shared" si="11"/>
        <v>1.5218982926945396E-2</v>
      </c>
      <c r="Z52" s="3">
        <f t="shared" si="12"/>
        <v>0.17614476015194705</v>
      </c>
    </row>
    <row r="53" spans="1:26" x14ac:dyDescent="0.25">
      <c r="A53" t="s">
        <v>82</v>
      </c>
      <c r="B53" s="1">
        <v>3.3575868330595893E-3</v>
      </c>
      <c r="C53" s="1">
        <v>1.7095786465379965E-2</v>
      </c>
      <c r="D53" s="1">
        <v>6.6022688392222929E-3</v>
      </c>
      <c r="E53" s="1">
        <v>2.6740795723217178E-2</v>
      </c>
      <c r="F53" s="1">
        <v>1.2329400979672011E-2</v>
      </c>
      <c r="G53" s="1">
        <v>1.5340334243381075E-2</v>
      </c>
      <c r="H53" s="1">
        <v>0</v>
      </c>
      <c r="I53" s="1">
        <v>0</v>
      </c>
      <c r="J53" s="1">
        <v>0</v>
      </c>
      <c r="K53" s="1">
        <v>0</v>
      </c>
      <c r="M53" s="3">
        <f t="shared" si="1"/>
        <v>0.16415809676322432</v>
      </c>
      <c r="N53" s="4">
        <f t="shared" si="2"/>
        <v>0.83584190323677565</v>
      </c>
      <c r="O53" s="1">
        <f t="shared" si="3"/>
        <v>2.0453373298439555E-2</v>
      </c>
      <c r="P53" s="1">
        <f t="shared" si="4"/>
        <v>1.2329400979672011E-2</v>
      </c>
      <c r="Q53" s="1">
        <f t="shared" si="5"/>
        <v>1.5340334243381075E-2</v>
      </c>
      <c r="R53" s="1">
        <f t="shared" si="6"/>
        <v>3.3343064562439469E-2</v>
      </c>
      <c r="T53" s="9">
        <f t="shared" si="7"/>
        <v>8.1466173083932114E-2</v>
      </c>
      <c r="U53" s="10">
        <f t="shared" si="8"/>
        <v>0.15947289101823878</v>
      </c>
      <c r="W53" s="3">
        <f t="shared" si="9"/>
        <v>0.25106584149186767</v>
      </c>
      <c r="X53" s="3">
        <f t="shared" si="10"/>
        <v>0.15134380949709525</v>
      </c>
      <c r="Y53" s="3">
        <f t="shared" si="11"/>
        <v>0.1883031160378234</v>
      </c>
      <c r="Z53" s="3">
        <f t="shared" si="12"/>
        <v>0.40928723297321362</v>
      </c>
    </row>
    <row r="54" spans="1:26" x14ac:dyDescent="0.25">
      <c r="A54" t="s">
        <v>17</v>
      </c>
      <c r="B54" s="1">
        <v>0.18507869334804442</v>
      </c>
      <c r="C54" s="1">
        <v>5.5300767981161028E-2</v>
      </c>
      <c r="D54" s="1">
        <v>1.6430788263809499E-3</v>
      </c>
      <c r="E54" s="1">
        <v>4.4336710953667549E-2</v>
      </c>
      <c r="F54" s="1">
        <v>0.15870822884566949</v>
      </c>
      <c r="G54" s="1">
        <v>1.6241923290992999E-2</v>
      </c>
      <c r="H54" s="1">
        <v>1.3776683003535045E-2</v>
      </c>
      <c r="I54" s="1">
        <v>0</v>
      </c>
      <c r="J54" s="1">
        <v>1.1479305996292103E-2</v>
      </c>
      <c r="K54" s="1">
        <v>2.4281138244600903E-2</v>
      </c>
      <c r="M54" s="3">
        <f t="shared" si="1"/>
        <v>0.7699438725947334</v>
      </c>
      <c r="N54" s="4">
        <f t="shared" si="2"/>
        <v>0.2300561274052666</v>
      </c>
      <c r="O54" s="1">
        <f t="shared" si="3"/>
        <v>0.24037946132920546</v>
      </c>
      <c r="P54" s="1">
        <f t="shared" si="4"/>
        <v>0.15870822884566949</v>
      </c>
      <c r="Q54" s="1">
        <f t="shared" si="5"/>
        <v>3.0018606294528044E-2</v>
      </c>
      <c r="R54" s="1">
        <f t="shared" si="6"/>
        <v>8.1740234020941507E-2</v>
      </c>
      <c r="T54" s="9">
        <f t="shared" si="7"/>
        <v>0.51084653049034456</v>
      </c>
      <c r="U54" s="10">
        <f t="shared" si="8"/>
        <v>1</v>
      </c>
      <c r="W54" s="3">
        <f t="shared" si="9"/>
        <v>0.47055122621362078</v>
      </c>
      <c r="X54" s="3">
        <f t="shared" si="10"/>
        <v>0.31067692422875171</v>
      </c>
      <c r="Y54" s="3">
        <f t="shared" si="11"/>
        <v>5.8762474643243995E-2</v>
      </c>
      <c r="Z54" s="3">
        <f t="shared" si="12"/>
        <v>0.16000937491438336</v>
      </c>
    </row>
    <row r="55" spans="1:26" x14ac:dyDescent="0.25">
      <c r="M55" s="3"/>
    </row>
    <row r="56" spans="1:26" x14ac:dyDescent="0.25">
      <c r="M56" s="3"/>
    </row>
    <row r="57" spans="1:26" x14ac:dyDescent="0.25">
      <c r="M57" s="3"/>
    </row>
  </sheetData>
  <mergeCells count="3">
    <mergeCell ref="B1:K1"/>
    <mergeCell ref="W1:Z1"/>
    <mergeCell ref="M1:N1"/>
  </mergeCells>
  <conditionalFormatting sqref="M4:M57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4:W54">
    <cfRule type="colorScale" priority="6">
      <colorScale>
        <cfvo type="min"/>
        <cfvo type="max"/>
        <color theme="0"/>
        <color theme="1" tint="0.499984740745262"/>
      </colorScale>
    </cfRule>
  </conditionalFormatting>
  <conditionalFormatting sqref="X4:X54">
    <cfRule type="colorScale" priority="3">
      <colorScale>
        <cfvo type="min"/>
        <cfvo type="max"/>
        <color theme="0"/>
        <color theme="7"/>
      </colorScale>
    </cfRule>
  </conditionalFormatting>
  <conditionalFormatting sqref="Y4:Y54">
    <cfRule type="colorScale" priority="2">
      <colorScale>
        <cfvo type="min"/>
        <cfvo type="max"/>
        <color theme="0"/>
        <color theme="5"/>
      </colorScale>
    </cfRule>
  </conditionalFormatting>
  <conditionalFormatting sqref="Z4:Z54"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1DBF-469B-43F2-B682-5716D0309993}">
  <dimension ref="A1:G19"/>
  <sheetViews>
    <sheetView workbookViewId="0">
      <selection activeCell="J23" sqref="J23"/>
    </sheetView>
  </sheetViews>
  <sheetFormatPr defaultRowHeight="15" x14ac:dyDescent="0.25"/>
  <cols>
    <col min="4" max="4" width="13.7109375" bestFit="1" customWidth="1"/>
  </cols>
  <sheetData>
    <row r="1" spans="1:7" x14ac:dyDescent="0.25">
      <c r="A1" t="s">
        <v>0</v>
      </c>
      <c r="B1" t="s">
        <v>26</v>
      </c>
      <c r="D1" t="s">
        <v>24</v>
      </c>
      <c r="E1" t="s">
        <v>23</v>
      </c>
      <c r="F1" t="s">
        <v>19</v>
      </c>
      <c r="G1" t="s">
        <v>25</v>
      </c>
    </row>
    <row r="3" spans="1:7" x14ac:dyDescent="0.25">
      <c r="A3" t="s">
        <v>1</v>
      </c>
      <c r="B3" s="2">
        <v>2.1753381971200381</v>
      </c>
      <c r="C3" s="2"/>
      <c r="D3" s="3">
        <v>0.69744132224095357</v>
      </c>
      <c r="E3" s="3">
        <v>0.11013096056218671</v>
      </c>
      <c r="F3" s="3">
        <v>6.2217654159784197E-2</v>
      </c>
      <c r="G3" s="3">
        <v>0.13021006303707569</v>
      </c>
    </row>
    <row r="4" spans="1:7" x14ac:dyDescent="0.25">
      <c r="A4" t="s">
        <v>2</v>
      </c>
      <c r="B4" s="2">
        <v>0.61144721178944172</v>
      </c>
      <c r="C4" s="2"/>
      <c r="D4" s="3">
        <v>0.35250569555162098</v>
      </c>
      <c r="E4" s="3">
        <v>0.25424479487377111</v>
      </c>
      <c r="F4" s="3">
        <v>0.2293198632116068</v>
      </c>
      <c r="G4" s="3">
        <v>0.163929646363001</v>
      </c>
    </row>
    <row r="5" spans="1:7" x14ac:dyDescent="0.25">
      <c r="A5" t="s">
        <v>3</v>
      </c>
      <c r="B5" s="2">
        <v>0.95531023810137672</v>
      </c>
      <c r="C5" s="2"/>
      <c r="D5" s="3">
        <v>0.47347157328655032</v>
      </c>
      <c r="E5" s="3">
        <v>0.30307361662029375</v>
      </c>
      <c r="F5" s="3">
        <v>7.2978495202257299E-2</v>
      </c>
      <c r="G5" s="3">
        <v>0.15047631489089858</v>
      </c>
    </row>
    <row r="6" spans="1:7" x14ac:dyDescent="0.25">
      <c r="A6" t="s">
        <v>4</v>
      </c>
      <c r="B6" s="2">
        <v>1.1375457222291927</v>
      </c>
      <c r="C6" s="2"/>
      <c r="D6" s="3">
        <v>0.53342869407658611</v>
      </c>
      <c r="E6" s="3">
        <v>0.25094990874519862</v>
      </c>
      <c r="F6" s="3">
        <v>4.9997004731729765E-2</v>
      </c>
      <c r="G6" s="3">
        <v>0.16562439244648564</v>
      </c>
    </row>
    <row r="7" spans="1:7" x14ac:dyDescent="0.25">
      <c r="A7" t="s">
        <v>5</v>
      </c>
      <c r="B7" s="2">
        <v>0.5063627997475193</v>
      </c>
      <c r="C7" s="2"/>
      <c r="D7" s="3">
        <v>0.20740344840777644</v>
      </c>
      <c r="E7" s="3">
        <v>0.48106378949104939</v>
      </c>
      <c r="F7" s="3">
        <v>7.3075543686346528E-2</v>
      </c>
      <c r="G7" s="3">
        <v>0.23845721841482767</v>
      </c>
    </row>
    <row r="8" spans="1:7" x14ac:dyDescent="0.25">
      <c r="A8" t="s">
        <v>6</v>
      </c>
      <c r="B8" s="2">
        <v>0.60064572094191604</v>
      </c>
      <c r="C8" s="2"/>
      <c r="D8" s="3">
        <v>0.3884732576447093</v>
      </c>
      <c r="E8" s="3">
        <v>0.1592351512943718</v>
      </c>
      <c r="F8" s="3">
        <v>0.19585349572641936</v>
      </c>
      <c r="G8" s="3">
        <v>0.25643809533449963</v>
      </c>
    </row>
    <row r="9" spans="1:7" x14ac:dyDescent="0.25">
      <c r="A9" t="s">
        <v>7</v>
      </c>
      <c r="B9" s="2">
        <v>1.0018457714739426</v>
      </c>
      <c r="C9" s="2"/>
      <c r="D9" s="3">
        <v>0.3733205246473108</v>
      </c>
      <c r="E9" s="3">
        <v>0.24963080194741732</v>
      </c>
      <c r="F9" s="3">
        <v>1.425762885192298E-2</v>
      </c>
      <c r="G9" s="3">
        <v>0.36279104455334887</v>
      </c>
    </row>
    <row r="10" spans="1:7" x14ac:dyDescent="0.25">
      <c r="A10" t="s">
        <v>8</v>
      </c>
      <c r="B10" s="2">
        <v>0.97294349916315159</v>
      </c>
      <c r="C10" s="2"/>
      <c r="D10" s="3">
        <v>0.38617194035512847</v>
      </c>
      <c r="E10" s="3">
        <v>0.25095332614050581</v>
      </c>
      <c r="F10" s="3">
        <v>4.2204200315777611E-3</v>
      </c>
      <c r="G10" s="3">
        <v>0.35865431347278798</v>
      </c>
    </row>
    <row r="11" spans="1:7" x14ac:dyDescent="0.25">
      <c r="A11" t="s">
        <v>9</v>
      </c>
      <c r="B11" s="2">
        <v>0.89488278015271872</v>
      </c>
      <c r="C11" s="2"/>
      <c r="D11" s="3">
        <v>0.30250424266078474</v>
      </c>
      <c r="E11" s="3">
        <v>0.29631119093987168</v>
      </c>
      <c r="F11" s="3">
        <v>0.21833112782689326</v>
      </c>
      <c r="G11" s="3">
        <v>0.18285343857245037</v>
      </c>
    </row>
    <row r="12" spans="1:7" x14ac:dyDescent="0.25">
      <c r="A12" t="s">
        <v>10</v>
      </c>
      <c r="B12" s="2">
        <v>0.54188866945532577</v>
      </c>
      <c r="C12" s="2"/>
      <c r="D12" s="3">
        <v>0.41109410424494353</v>
      </c>
      <c r="E12" s="3">
        <v>0.34485151774924844</v>
      </c>
      <c r="F12" s="3">
        <v>4.1194100691932849E-2</v>
      </c>
      <c r="G12" s="3">
        <v>0.2028602773138751</v>
      </c>
    </row>
    <row r="13" spans="1:7" x14ac:dyDescent="0.25">
      <c r="A13" t="s">
        <v>11</v>
      </c>
      <c r="B13" s="2">
        <v>1.9788799898619989</v>
      </c>
      <c r="C13" s="2"/>
      <c r="D13" s="3">
        <v>0.5652386241925782</v>
      </c>
      <c r="E13" s="3">
        <v>0.26027973274093702</v>
      </c>
      <c r="F13" s="3">
        <v>5.0534509573305623E-2</v>
      </c>
      <c r="G13" s="3">
        <v>0.12394713349317915</v>
      </c>
    </row>
    <row r="14" spans="1:7" x14ac:dyDescent="0.25">
      <c r="A14" t="s">
        <v>12</v>
      </c>
      <c r="B14" s="2">
        <v>0.81353192003197383</v>
      </c>
      <c r="C14" s="2"/>
      <c r="D14" s="3">
        <v>0.42836258033515945</v>
      </c>
      <c r="E14" s="3">
        <v>0.29930433628796904</v>
      </c>
      <c r="F14" s="3">
        <v>5.2191058824702007E-2</v>
      </c>
      <c r="G14" s="3">
        <v>0.22014202455216944</v>
      </c>
    </row>
    <row r="15" spans="1:7" x14ac:dyDescent="0.25">
      <c r="A15" t="s">
        <v>13</v>
      </c>
      <c r="B15" s="2">
        <v>0.5584881830002193</v>
      </c>
      <c r="C15" s="2"/>
      <c r="D15" s="3">
        <v>0.30624807323768133</v>
      </c>
      <c r="E15" s="3">
        <v>8.5655001497762867E-2</v>
      </c>
      <c r="F15" s="3">
        <v>0.41050354726771043</v>
      </c>
      <c r="G15" s="3">
        <v>0.19759337799684534</v>
      </c>
    </row>
    <row r="16" spans="1:7" x14ac:dyDescent="0.25">
      <c r="A16" t="s">
        <v>14</v>
      </c>
      <c r="B16" s="2">
        <v>0.57998426655362179</v>
      </c>
      <c r="C16" s="2"/>
      <c r="D16" s="3">
        <v>0.34092607731480257</v>
      </c>
      <c r="E16" s="3">
        <v>0.18425623288217158</v>
      </c>
      <c r="F16" s="3">
        <v>0.32177925200449514</v>
      </c>
      <c r="G16" s="3">
        <v>0.1530384377985306</v>
      </c>
    </row>
    <row r="17" spans="1:7" x14ac:dyDescent="0.25">
      <c r="A17" t="s">
        <v>15</v>
      </c>
      <c r="B17" s="2">
        <v>1.0042776883555915</v>
      </c>
      <c r="C17" s="2"/>
      <c r="D17" s="3">
        <v>0.29609962694969488</v>
      </c>
      <c r="E17" s="3">
        <v>0.13935576191309063</v>
      </c>
      <c r="F17" s="3">
        <v>0.43976799261709182</v>
      </c>
      <c r="G17" s="3">
        <v>0.12477661852012263</v>
      </c>
    </row>
    <row r="18" spans="1:7" x14ac:dyDescent="0.25">
      <c r="A18" t="s">
        <v>16</v>
      </c>
      <c r="B18" s="2">
        <v>0.83774086842912621</v>
      </c>
      <c r="C18" s="2"/>
      <c r="D18" s="3">
        <v>0.20496423892819227</v>
      </c>
      <c r="E18" s="3">
        <v>0.14773669808878062</v>
      </c>
      <c r="F18" s="3">
        <v>0.56446020171170241</v>
      </c>
      <c r="G18" s="3">
        <v>8.283886127132456E-2</v>
      </c>
    </row>
    <row r="19" spans="1:7" x14ac:dyDescent="0.25">
      <c r="A19" t="s">
        <v>17</v>
      </c>
      <c r="B19" s="2">
        <v>1</v>
      </c>
      <c r="C19" s="2"/>
      <c r="D19" s="3">
        <v>0.47055122621362078</v>
      </c>
      <c r="E19" s="3">
        <v>0.31067692422875171</v>
      </c>
      <c r="F19" s="3">
        <v>5.8762474643243995E-2</v>
      </c>
      <c r="G19" s="3">
        <v>0.16000937491438336</v>
      </c>
    </row>
  </sheetData>
  <conditionalFormatting sqref="D3:D19">
    <cfRule type="colorScale" priority="278">
      <colorScale>
        <cfvo type="min"/>
        <cfvo type="max"/>
        <color theme="0"/>
        <color theme="7"/>
      </colorScale>
    </cfRule>
  </conditionalFormatting>
  <conditionalFormatting sqref="E3:E19">
    <cfRule type="colorScale" priority="280">
      <colorScale>
        <cfvo type="min"/>
        <cfvo type="max"/>
        <color theme="0"/>
        <color theme="9" tint="-0.249977111117893"/>
      </colorScale>
    </cfRule>
  </conditionalFormatting>
  <conditionalFormatting sqref="F3:F19">
    <cfRule type="colorScale" priority="282">
      <colorScale>
        <cfvo type="min"/>
        <cfvo type="max"/>
        <color theme="0"/>
        <color theme="5"/>
      </colorScale>
    </cfRule>
  </conditionalFormatting>
  <conditionalFormatting sqref="G3:G19">
    <cfRule type="colorScale" priority="284">
      <colorScale>
        <cfvo type="min"/>
        <cfvo type="max"/>
        <color theme="0"/>
        <color rgb="FF7030A0"/>
      </colorScale>
    </cfRule>
  </conditionalFormatting>
  <conditionalFormatting sqref="B3:C19">
    <cfRule type="colorScale" priority="286">
      <colorScale>
        <cfvo type="min"/>
        <cfvo type="max"/>
        <color theme="0"/>
        <color theme="1" tint="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B41A-0A03-4630-8168-AC025B9D54C8}">
  <dimension ref="A2:E18"/>
  <sheetViews>
    <sheetView workbookViewId="0">
      <selection activeCell="H33" sqref="H33"/>
    </sheetView>
  </sheetViews>
  <sheetFormatPr defaultRowHeight="15" x14ac:dyDescent="0.25"/>
  <sheetData>
    <row r="2" spans="1:5" x14ac:dyDescent="0.25">
      <c r="B2" t="s">
        <v>17</v>
      </c>
      <c r="C2" t="s">
        <v>28</v>
      </c>
      <c r="D2" t="s">
        <v>29</v>
      </c>
      <c r="E2" t="s">
        <v>30</v>
      </c>
    </row>
    <row r="3" spans="1:5" x14ac:dyDescent="0.25">
      <c r="A3" t="s">
        <v>1</v>
      </c>
      <c r="B3" s="2">
        <v>2.1753381971200381</v>
      </c>
      <c r="C3" s="3">
        <v>0.69744132224095357</v>
      </c>
      <c r="D3" s="3">
        <v>0.75340370539156076</v>
      </c>
      <c r="E3" s="4">
        <v>0.24659629460843924</v>
      </c>
    </row>
    <row r="4" spans="1:5" x14ac:dyDescent="0.25">
      <c r="A4" t="s">
        <v>2</v>
      </c>
      <c r="B4" s="2">
        <v>0.61144721178944172</v>
      </c>
      <c r="C4" s="3">
        <v>0.35250569555162098</v>
      </c>
      <c r="D4" s="3">
        <v>0.41422927203525073</v>
      </c>
      <c r="E4" s="4">
        <v>0.58577072796474927</v>
      </c>
    </row>
    <row r="5" spans="1:5" x14ac:dyDescent="0.25">
      <c r="A5" t="s">
        <v>3</v>
      </c>
      <c r="B5" s="2">
        <v>0.95531023810137672</v>
      </c>
      <c r="C5" s="3">
        <v>0.47347157328655032</v>
      </c>
      <c r="D5" s="3">
        <v>0.83783666180409977</v>
      </c>
      <c r="E5" s="4">
        <v>0.16216333819590023</v>
      </c>
    </row>
    <row r="6" spans="1:5" x14ac:dyDescent="0.25">
      <c r="A6" t="s">
        <v>5</v>
      </c>
      <c r="B6" s="2">
        <v>0.5063627997475193</v>
      </c>
      <c r="C6" s="3">
        <v>0.20740344840777644</v>
      </c>
      <c r="D6" s="3">
        <v>0.82402834493577504</v>
      </c>
      <c r="E6" s="4">
        <v>0.17597165506422496</v>
      </c>
    </row>
    <row r="7" spans="1:5" x14ac:dyDescent="0.25">
      <c r="A7" t="s">
        <v>6</v>
      </c>
      <c r="B7" s="2">
        <v>0.60064572094191604</v>
      </c>
      <c r="C7" s="3">
        <v>0.3884732576447093</v>
      </c>
      <c r="D7" s="3">
        <v>0.39596407523915161</v>
      </c>
      <c r="E7" s="4">
        <v>0.60403592476084844</v>
      </c>
    </row>
    <row r="8" spans="1:5" x14ac:dyDescent="0.25">
      <c r="A8" t="s">
        <v>7</v>
      </c>
      <c r="B8" s="2">
        <v>1.0018457714739426</v>
      </c>
      <c r="C8" s="3">
        <v>0.3733205246473108</v>
      </c>
      <c r="D8" s="3">
        <v>0.68656119666842219</v>
      </c>
      <c r="E8" s="4">
        <v>0.31343880333157781</v>
      </c>
    </row>
    <row r="9" spans="1:5" x14ac:dyDescent="0.25">
      <c r="A9" t="s">
        <v>8</v>
      </c>
      <c r="B9" s="2">
        <v>0.97294349916315159</v>
      </c>
      <c r="C9" s="3">
        <v>0.38617194035512847</v>
      </c>
      <c r="D9" s="3">
        <v>0.64188081765992488</v>
      </c>
      <c r="E9" s="4">
        <v>0.35811918234007512</v>
      </c>
    </row>
    <row r="10" spans="1:5" x14ac:dyDescent="0.25">
      <c r="A10" t="s">
        <v>9</v>
      </c>
      <c r="B10" s="2">
        <v>0.89488278015271872</v>
      </c>
      <c r="C10" s="3">
        <v>0.30250424266078474</v>
      </c>
      <c r="D10" s="3">
        <v>0.25537792531438774</v>
      </c>
      <c r="E10" s="4">
        <v>0.74462207468561226</v>
      </c>
    </row>
    <row r="11" spans="1:5" x14ac:dyDescent="0.25">
      <c r="A11" t="s">
        <v>10</v>
      </c>
      <c r="B11" s="2">
        <v>0.54188866945532577</v>
      </c>
      <c r="C11" s="3">
        <v>0.41109410424494353</v>
      </c>
      <c r="D11" s="3">
        <v>0.86176880074202022</v>
      </c>
      <c r="E11" s="4">
        <v>0.13823119925797978</v>
      </c>
    </row>
    <row r="12" spans="1:5" x14ac:dyDescent="0.25">
      <c r="A12" t="s">
        <v>11</v>
      </c>
      <c r="B12" s="2">
        <v>1.9788799898619989</v>
      </c>
      <c r="C12" s="3">
        <v>0.5652386241925782</v>
      </c>
      <c r="D12" s="3">
        <v>0.69544424555502538</v>
      </c>
      <c r="E12" s="4">
        <v>0.30455575444497462</v>
      </c>
    </row>
    <row r="13" spans="1:5" x14ac:dyDescent="0.25">
      <c r="A13" t="s">
        <v>12</v>
      </c>
      <c r="B13" s="2">
        <v>0.81353192003197383</v>
      </c>
      <c r="C13" s="3">
        <v>0.42836258033515945</v>
      </c>
      <c r="D13" s="3">
        <v>0.76507537216480836</v>
      </c>
      <c r="E13" s="4">
        <v>0.23492462783519164</v>
      </c>
    </row>
    <row r="14" spans="1:5" x14ac:dyDescent="0.25">
      <c r="A14" t="s">
        <v>13</v>
      </c>
      <c r="B14" s="2">
        <v>0.5584881830002193</v>
      </c>
      <c r="C14" s="3">
        <v>0.30624807323768133</v>
      </c>
      <c r="D14" s="3">
        <v>0.34234419464688443</v>
      </c>
      <c r="E14" s="4">
        <v>0.65765580535311563</v>
      </c>
    </row>
    <row r="15" spans="1:5" x14ac:dyDescent="0.25">
      <c r="A15" t="s">
        <v>14</v>
      </c>
      <c r="B15" s="2">
        <v>0.57998426655362179</v>
      </c>
      <c r="C15" s="3">
        <v>0.34092607731480257</v>
      </c>
      <c r="D15" s="3">
        <v>0.39159473289361818</v>
      </c>
      <c r="E15" s="4">
        <v>0.60840526710638176</v>
      </c>
    </row>
    <row r="16" spans="1:5" x14ac:dyDescent="0.25">
      <c r="A16" t="s">
        <v>15</v>
      </c>
      <c r="B16" s="2">
        <v>1.0042776883555915</v>
      </c>
      <c r="C16" s="3">
        <v>0.29609962694969488</v>
      </c>
      <c r="D16" s="3">
        <v>0.22858618641705233</v>
      </c>
      <c r="E16" s="4">
        <v>0.77141381358294769</v>
      </c>
    </row>
    <row r="17" spans="1:5" x14ac:dyDescent="0.25">
      <c r="A17" t="s">
        <v>16</v>
      </c>
      <c r="B17" s="2">
        <v>0.83774086842912621</v>
      </c>
      <c r="C17" s="3">
        <v>0.20496423892819227</v>
      </c>
      <c r="D17" s="3">
        <v>0.26339020520497891</v>
      </c>
      <c r="E17" s="4">
        <v>0.73660979479502109</v>
      </c>
    </row>
    <row r="18" spans="1:5" x14ac:dyDescent="0.25">
      <c r="A18" t="s">
        <v>17</v>
      </c>
      <c r="B18" s="2">
        <v>1</v>
      </c>
      <c r="C18" s="3">
        <v>0.47055122621362078</v>
      </c>
      <c r="D18" s="3">
        <v>0.7699438725947334</v>
      </c>
      <c r="E18" s="4">
        <v>0.2300561274052666</v>
      </c>
    </row>
  </sheetData>
  <conditionalFormatting sqref="C3:C18">
    <cfRule type="colorScale" priority="155">
      <colorScale>
        <cfvo type="min"/>
        <cfvo type="max"/>
        <color theme="0"/>
        <color theme="1" tint="0.499984740745262"/>
      </colorScale>
    </cfRule>
  </conditionalFormatting>
  <conditionalFormatting sqref="D3:D1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18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:E1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2023-12-04T11:14:37Z</dcterms:created>
  <dcterms:modified xsi:type="dcterms:W3CDTF">2024-08-30T16:03:23Z</dcterms:modified>
</cp:coreProperties>
</file>