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8_{0E1A68BC-3A17-4F11-8465-D0639F95CC37}" xr6:coauthVersionLast="47" xr6:coauthVersionMax="47" xr10:uidLastSave="{00000000-0000-0000-0000-000000000000}"/>
  <bookViews>
    <workbookView xWindow="-120" yWindow="-120" windowWidth="38640" windowHeight="21240" xr2:uid="{85C4A437-6EFC-4C39-B66E-80611031018E}"/>
  </bookViews>
  <sheets>
    <sheet name="All variants" sheetId="1" r:id="rId1"/>
    <sheet name="Best vari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8" i="1" l="1"/>
  <c r="L59" i="1"/>
  <c r="C61" i="1"/>
  <c r="D61" i="1"/>
  <c r="B61" i="1"/>
  <c r="C60" i="1"/>
  <c r="D60" i="1"/>
  <c r="B60" i="1"/>
  <c r="G60" i="1" s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G4" i="1"/>
  <c r="F4" i="1"/>
  <c r="G61" i="1" l="1"/>
  <c r="J61" i="1" s="1"/>
  <c r="F61" i="1"/>
  <c r="I61" i="1" s="1"/>
  <c r="J4" i="1"/>
  <c r="L61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60" i="1"/>
  <c r="F60" i="1"/>
  <c r="I60" i="1" s="1"/>
  <c r="I6" i="1" l="1"/>
  <c r="I8" i="1"/>
  <c r="L8" i="1" s="1"/>
  <c r="I10" i="1"/>
  <c r="I12" i="1"/>
  <c r="I14" i="1"/>
  <c r="I16" i="1"/>
  <c r="I18" i="1"/>
  <c r="I20" i="1"/>
  <c r="I22" i="1"/>
  <c r="I24" i="1"/>
  <c r="I26" i="1"/>
  <c r="I28" i="1"/>
  <c r="I30" i="1"/>
  <c r="I32" i="1"/>
  <c r="I34" i="1"/>
  <c r="I36" i="1"/>
  <c r="I38" i="1"/>
  <c r="I40" i="1"/>
  <c r="I42" i="1"/>
  <c r="I44" i="1"/>
  <c r="I46" i="1"/>
  <c r="I48" i="1"/>
  <c r="I52" i="1"/>
  <c r="I57" i="1"/>
  <c r="I4" i="1"/>
  <c r="L4" i="1" s="1"/>
  <c r="I51" i="1"/>
  <c r="I55" i="1"/>
  <c r="I5" i="1"/>
  <c r="L5" i="1" s="1"/>
  <c r="I7" i="1"/>
  <c r="I9" i="1"/>
  <c r="L9" i="1" s="1"/>
  <c r="I11" i="1"/>
  <c r="I13" i="1"/>
  <c r="L13" i="1" s="1"/>
  <c r="I15" i="1"/>
  <c r="I17" i="1"/>
  <c r="L17" i="1" s="1"/>
  <c r="I19" i="1"/>
  <c r="I21" i="1"/>
  <c r="L21" i="1" s="1"/>
  <c r="I23" i="1"/>
  <c r="I25" i="1"/>
  <c r="L25" i="1" s="1"/>
  <c r="I27" i="1"/>
  <c r="I29" i="1"/>
  <c r="L29" i="1" s="1"/>
  <c r="I31" i="1"/>
  <c r="I33" i="1"/>
  <c r="L33" i="1" s="1"/>
  <c r="I35" i="1"/>
  <c r="I37" i="1"/>
  <c r="L37" i="1" s="1"/>
  <c r="I39" i="1"/>
  <c r="I41" i="1"/>
  <c r="L41" i="1" s="1"/>
  <c r="I43" i="1"/>
  <c r="I45" i="1"/>
  <c r="L45" i="1" s="1"/>
  <c r="I47" i="1"/>
  <c r="I50" i="1"/>
  <c r="I54" i="1"/>
  <c r="I49" i="1"/>
  <c r="L49" i="1" s="1"/>
  <c r="I53" i="1"/>
  <c r="I56" i="1"/>
  <c r="L60" i="1"/>
  <c r="M4" i="1" s="1"/>
  <c r="O4" i="1"/>
  <c r="L6" i="1"/>
  <c r="P6" i="1" s="1"/>
  <c r="L7" i="1"/>
  <c r="L10" i="1"/>
  <c r="P10" i="1" s="1"/>
  <c r="L11" i="1"/>
  <c r="L12" i="1"/>
  <c r="L14" i="1"/>
  <c r="P14" i="1" s="1"/>
  <c r="L15" i="1"/>
  <c r="L16" i="1"/>
  <c r="L18" i="1"/>
  <c r="P18" i="1" s="1"/>
  <c r="L19" i="1"/>
  <c r="L20" i="1"/>
  <c r="L22" i="1"/>
  <c r="P22" i="1" s="1"/>
  <c r="L23" i="1"/>
  <c r="L24" i="1"/>
  <c r="L26" i="1"/>
  <c r="P26" i="1" s="1"/>
  <c r="L27" i="1"/>
  <c r="L28" i="1"/>
  <c r="L30" i="1"/>
  <c r="P30" i="1" s="1"/>
  <c r="L31" i="1"/>
  <c r="L32" i="1"/>
  <c r="L34" i="1"/>
  <c r="P34" i="1" s="1"/>
  <c r="L35" i="1"/>
  <c r="L36" i="1"/>
  <c r="L38" i="1"/>
  <c r="P38" i="1" s="1"/>
  <c r="L39" i="1"/>
  <c r="L40" i="1"/>
  <c r="L42" i="1"/>
  <c r="P42" i="1" s="1"/>
  <c r="L43" i="1"/>
  <c r="L44" i="1"/>
  <c r="L46" i="1"/>
  <c r="L47" i="1"/>
  <c r="L48" i="1"/>
  <c r="L50" i="1"/>
  <c r="L51" i="1"/>
  <c r="L52" i="1"/>
  <c r="L53" i="1"/>
  <c r="L54" i="1"/>
  <c r="L55" i="1"/>
  <c r="L56" i="1"/>
  <c r="L57" i="1"/>
  <c r="P4" i="1"/>
  <c r="M56" i="1" l="1"/>
  <c r="O56" i="1"/>
  <c r="M54" i="1"/>
  <c r="O54" i="1"/>
  <c r="M50" i="1"/>
  <c r="O50" i="1"/>
  <c r="M46" i="1"/>
  <c r="O46" i="1"/>
  <c r="M40" i="1"/>
  <c r="O40" i="1"/>
  <c r="M57" i="1"/>
  <c r="O57" i="1"/>
  <c r="M55" i="1"/>
  <c r="O55" i="1"/>
  <c r="M53" i="1"/>
  <c r="O53" i="1"/>
  <c r="M51" i="1"/>
  <c r="O51" i="1"/>
  <c r="M49" i="1"/>
  <c r="O49" i="1"/>
  <c r="M47" i="1"/>
  <c r="O47" i="1"/>
  <c r="M45" i="1"/>
  <c r="O45" i="1"/>
  <c r="M43" i="1"/>
  <c r="O43" i="1"/>
  <c r="M41" i="1"/>
  <c r="O41" i="1"/>
  <c r="M39" i="1"/>
  <c r="O39" i="1"/>
  <c r="M37" i="1"/>
  <c r="O37" i="1"/>
  <c r="M35" i="1"/>
  <c r="O35" i="1"/>
  <c r="M33" i="1"/>
  <c r="O33" i="1"/>
  <c r="M31" i="1"/>
  <c r="O31" i="1"/>
  <c r="M29" i="1"/>
  <c r="O29" i="1"/>
  <c r="M27" i="1"/>
  <c r="O27" i="1"/>
  <c r="M25" i="1"/>
  <c r="O25" i="1"/>
  <c r="M23" i="1"/>
  <c r="O23" i="1"/>
  <c r="M21" i="1"/>
  <c r="O21" i="1"/>
  <c r="M19" i="1"/>
  <c r="O19" i="1"/>
  <c r="M17" i="1"/>
  <c r="O17" i="1"/>
  <c r="M15" i="1"/>
  <c r="O15" i="1"/>
  <c r="M13" i="1"/>
  <c r="O13" i="1"/>
  <c r="M11" i="1"/>
  <c r="O11" i="1"/>
  <c r="M9" i="1"/>
  <c r="O9" i="1"/>
  <c r="M7" i="1"/>
  <c r="O7" i="1"/>
  <c r="M5" i="1"/>
  <c r="O5" i="1"/>
  <c r="P57" i="1"/>
  <c r="P53" i="1"/>
  <c r="P49" i="1"/>
  <c r="P45" i="1"/>
  <c r="P41" i="1"/>
  <c r="P37" i="1"/>
  <c r="P33" i="1"/>
  <c r="P29" i="1"/>
  <c r="P25" i="1"/>
  <c r="P21" i="1"/>
  <c r="P17" i="1"/>
  <c r="P13" i="1"/>
  <c r="P9" i="1"/>
  <c r="P5" i="1"/>
  <c r="O60" i="1"/>
  <c r="P54" i="1"/>
  <c r="P50" i="1"/>
  <c r="P46" i="1"/>
  <c r="M52" i="1"/>
  <c r="O52" i="1"/>
  <c r="M48" i="1"/>
  <c r="O48" i="1"/>
  <c r="M44" i="1"/>
  <c r="O44" i="1"/>
  <c r="M42" i="1"/>
  <c r="O42" i="1"/>
  <c r="M38" i="1"/>
  <c r="O38" i="1"/>
  <c r="M36" i="1"/>
  <c r="O36" i="1"/>
  <c r="M34" i="1"/>
  <c r="O34" i="1"/>
  <c r="M32" i="1"/>
  <c r="O32" i="1"/>
  <c r="M30" i="1"/>
  <c r="O30" i="1"/>
  <c r="M28" i="1"/>
  <c r="O28" i="1"/>
  <c r="M26" i="1"/>
  <c r="O26" i="1"/>
  <c r="M24" i="1"/>
  <c r="O24" i="1"/>
  <c r="M22" i="1"/>
  <c r="O22" i="1"/>
  <c r="M20" i="1"/>
  <c r="O20" i="1"/>
  <c r="M18" i="1"/>
  <c r="O18" i="1"/>
  <c r="M16" i="1"/>
  <c r="O16" i="1"/>
  <c r="M14" i="1"/>
  <c r="O14" i="1"/>
  <c r="M12" i="1"/>
  <c r="O12" i="1"/>
  <c r="M10" i="1"/>
  <c r="O10" i="1"/>
  <c r="M8" i="1"/>
  <c r="O8" i="1"/>
  <c r="M6" i="1"/>
  <c r="O6" i="1"/>
  <c r="P55" i="1"/>
  <c r="P51" i="1"/>
  <c r="P47" i="1"/>
  <c r="P43" i="1"/>
  <c r="P39" i="1"/>
  <c r="P35" i="1"/>
  <c r="P31" i="1"/>
  <c r="P27" i="1"/>
  <c r="P23" i="1"/>
  <c r="P19" i="1"/>
  <c r="P15" i="1"/>
  <c r="P11" i="1"/>
  <c r="P7" i="1"/>
  <c r="M60" i="1"/>
  <c r="M59" i="1"/>
  <c r="M58" i="1"/>
  <c r="M61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  <c r="P60" i="1"/>
</calcChain>
</file>

<file path=xl/sharedStrings.xml><?xml version="1.0" encoding="utf-8"?>
<sst xmlns="http://schemas.openxmlformats.org/spreadsheetml/2006/main" count="122" uniqueCount="69">
  <si>
    <t>Var 1</t>
  </si>
  <si>
    <t>Var 2</t>
  </si>
  <si>
    <t>Var 3</t>
  </si>
  <si>
    <t>Var 4</t>
  </si>
  <si>
    <t>Var 5</t>
  </si>
  <si>
    <t>Var 6</t>
  </si>
  <si>
    <t>Var 7</t>
  </si>
  <si>
    <t>Var 8</t>
  </si>
  <si>
    <t>Var 9</t>
  </si>
  <si>
    <t>Var 10</t>
  </si>
  <si>
    <t>Var 11</t>
  </si>
  <si>
    <t>Var 12</t>
  </si>
  <si>
    <t>Var 13</t>
  </si>
  <si>
    <t>Var 14</t>
  </si>
  <si>
    <t>Var 15</t>
  </si>
  <si>
    <t>Var 16</t>
  </si>
  <si>
    <t>Var 17</t>
  </si>
  <si>
    <t>Var 18</t>
  </si>
  <si>
    <t>Var 19</t>
  </si>
  <si>
    <t>Var 20</t>
  </si>
  <si>
    <t>Var 21</t>
  </si>
  <si>
    <t>Var 22</t>
  </si>
  <si>
    <t>Var 23</t>
  </si>
  <si>
    <t>Var 24</t>
  </si>
  <si>
    <t>Var 25</t>
  </si>
  <si>
    <t>Var 26</t>
  </si>
  <si>
    <t>Var 27</t>
  </si>
  <si>
    <t>Var 28</t>
  </si>
  <si>
    <t>Var 29</t>
  </si>
  <si>
    <t>Var 30</t>
  </si>
  <si>
    <t>Var 31</t>
  </si>
  <si>
    <t>Var 32</t>
  </si>
  <si>
    <t>Var 33</t>
  </si>
  <si>
    <t>Var 34</t>
  </si>
  <si>
    <t>Var 35</t>
  </si>
  <si>
    <t>Var 36</t>
  </si>
  <si>
    <t>Var 37</t>
  </si>
  <si>
    <t>Var 38</t>
  </si>
  <si>
    <t>Var 39</t>
  </si>
  <si>
    <t>Var 40</t>
  </si>
  <si>
    <t>Var 41</t>
  </si>
  <si>
    <t>Var 42</t>
  </si>
  <si>
    <t>Var 43</t>
  </si>
  <si>
    <t>Var 44</t>
  </si>
  <si>
    <t>Var 45</t>
  </si>
  <si>
    <t>Var 46</t>
  </si>
  <si>
    <t>Var 47</t>
  </si>
  <si>
    <t>Var 48</t>
  </si>
  <si>
    <t>Var 49</t>
  </si>
  <si>
    <t>Var 50</t>
  </si>
  <si>
    <t>wt</t>
  </si>
  <si>
    <t>LV</t>
  </si>
  <si>
    <t>IS</t>
  </si>
  <si>
    <t>Aldehyde</t>
  </si>
  <si>
    <t>Epoxide</t>
  </si>
  <si>
    <t>wt average</t>
  </si>
  <si>
    <t>lv average</t>
  </si>
  <si>
    <t>vgl wt</t>
  </si>
  <si>
    <t>Regioselektivität</t>
  </si>
  <si>
    <t>Integrated Area</t>
  </si>
  <si>
    <t>Product</t>
  </si>
  <si>
    <t>Retention time</t>
  </si>
  <si>
    <t>2,3- Epoxide</t>
  </si>
  <si>
    <t>Division of integrated area by area IS</t>
  </si>
  <si>
    <t>Deduction of background reaction (LV)</t>
  </si>
  <si>
    <t>Total sum of product</t>
  </si>
  <si>
    <t>Total sum of product divided by wild type activity</t>
  </si>
  <si>
    <t>Regioselectivity</t>
  </si>
  <si>
    <t>LV = background reaction, empty vector (microtiter plate vials in which yeast grew but the inserted plasmid contained lacZ)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</si>
</sst>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DF6D-9536-418E-A005-216BA823342B}">
  <dimension ref="A1:P63"/>
  <sheetViews>
    <sheetView tabSelected="1" zoomScale="115" zoomScaleNormal="115" workbookViewId="0">
      <pane ySplit="2" topLeftCell="A24" activePane="bottomLeft" state="frozen"/>
      <selection pane="bottomLeft" activeCell="S39" sqref="S39"/>
    </sheetView>
  </sheetViews>
  <sheetFormatPr defaultRowHeight="15" x14ac:dyDescent="0.25"/>
  <cols>
    <col min="1" max="1" width="14.5703125" bestFit="1" customWidth="1"/>
    <col min="3" max="3" width="10.140625" bestFit="1" customWidth="1"/>
    <col min="4" max="4" width="11.85546875" bestFit="1" customWidth="1"/>
    <col min="7" max="7" width="13.42578125" bestFit="1" customWidth="1"/>
    <col min="10" max="10" width="13.85546875" customWidth="1"/>
    <col min="12" max="12" width="13.42578125" bestFit="1" customWidth="1"/>
    <col min="13" max="13" width="16.42578125" customWidth="1"/>
    <col min="14" max="14" width="16.140625" bestFit="1" customWidth="1"/>
    <col min="16" max="16" width="11.85546875" bestFit="1" customWidth="1"/>
  </cols>
  <sheetData>
    <row r="1" spans="1:16" s="7" customFormat="1" ht="37.5" customHeight="1" x14ac:dyDescent="0.25">
      <c r="B1" s="4" t="s">
        <v>59</v>
      </c>
      <c r="C1" s="4"/>
      <c r="D1" s="4"/>
      <c r="E1" s="6"/>
      <c r="F1" s="4" t="s">
        <v>63</v>
      </c>
      <c r="G1" s="4"/>
      <c r="H1" s="6"/>
      <c r="I1" s="4" t="s">
        <v>64</v>
      </c>
      <c r="J1" s="4"/>
      <c r="K1" s="6"/>
      <c r="L1" s="5" t="s">
        <v>65</v>
      </c>
      <c r="M1" s="5" t="s">
        <v>66</v>
      </c>
    </row>
    <row r="2" spans="1:16" x14ac:dyDescent="0.25">
      <c r="A2" t="s">
        <v>60</v>
      </c>
      <c r="B2" t="s">
        <v>52</v>
      </c>
      <c r="C2" t="s">
        <v>53</v>
      </c>
      <c r="D2" t="s">
        <v>62</v>
      </c>
      <c r="F2" t="s">
        <v>53</v>
      </c>
      <c r="G2" t="s">
        <v>62</v>
      </c>
      <c r="I2" t="s">
        <v>53</v>
      </c>
      <c r="J2" t="s">
        <v>62</v>
      </c>
      <c r="N2" t="s">
        <v>67</v>
      </c>
      <c r="O2" t="s">
        <v>53</v>
      </c>
      <c r="P2" t="s">
        <v>62</v>
      </c>
    </row>
    <row r="3" spans="1:16" x14ac:dyDescent="0.25">
      <c r="A3" t="s">
        <v>61</v>
      </c>
      <c r="B3">
        <v>12.3</v>
      </c>
      <c r="C3">
        <v>6.55</v>
      </c>
      <c r="D3">
        <v>8.25</v>
      </c>
    </row>
    <row r="4" spans="1:16" x14ac:dyDescent="0.25">
      <c r="A4" t="s">
        <v>0</v>
      </c>
      <c r="B4">
        <v>5808003</v>
      </c>
      <c r="C4">
        <v>1930796</v>
      </c>
      <c r="D4">
        <v>516711</v>
      </c>
      <c r="F4">
        <f>C4/$B4</f>
        <v>0.3324371561102844</v>
      </c>
      <c r="G4">
        <f>D4/$B4</f>
        <v>8.8965346608808574E-2</v>
      </c>
      <c r="I4">
        <f>F4-F$61</f>
        <v>0.30713777965743677</v>
      </c>
      <c r="J4">
        <f>G4-G$61</f>
        <v>7.9878362941870867E-2</v>
      </c>
      <c r="L4">
        <f>SUM(I4:J4)</f>
        <v>0.38701614259930761</v>
      </c>
      <c r="M4" s="1">
        <f>L4/$L$60</f>
        <v>3.2671091579548928</v>
      </c>
      <c r="O4" s="2">
        <f>I4/$L4</f>
        <v>0.79360457058616307</v>
      </c>
      <c r="P4" s="2">
        <f>J4/$L4</f>
        <v>0.20639542941383698</v>
      </c>
    </row>
    <row r="5" spans="1:16" x14ac:dyDescent="0.25">
      <c r="A5" t="s">
        <v>1</v>
      </c>
      <c r="B5">
        <v>6245389</v>
      </c>
      <c r="C5">
        <v>2157849</v>
      </c>
      <c r="D5">
        <v>358991</v>
      </c>
      <c r="F5">
        <f>C5/$B5</f>
        <v>0.34551074400649823</v>
      </c>
      <c r="G5">
        <f>D5/$B5</f>
        <v>5.7480967158330731E-2</v>
      </c>
      <c r="I5">
        <f t="shared" ref="I5:I61" si="0">F5-F$61</f>
        <v>0.32021136755365059</v>
      </c>
      <c r="J5">
        <f t="shared" ref="J5:J61" si="1">G5-G$61</f>
        <v>4.8393983491393025E-2</v>
      </c>
      <c r="L5">
        <f t="shared" ref="L5:L61" si="2">SUM(I5:J5)</f>
        <v>0.36860535104504361</v>
      </c>
      <c r="M5" s="1">
        <f t="shared" ref="M5:M61" si="3">L5/$L$60</f>
        <v>3.1116891145216914</v>
      </c>
      <c r="O5" s="2">
        <f t="shared" ref="O5:O60" si="4">I5/$L5</f>
        <v>0.86871057798214313</v>
      </c>
      <c r="P5" s="2">
        <f t="shared" ref="P5:P60" si="5">J5/$L5</f>
        <v>0.13128942201785693</v>
      </c>
    </row>
    <row r="6" spans="1:16" x14ac:dyDescent="0.25">
      <c r="A6" t="s">
        <v>2</v>
      </c>
      <c r="B6">
        <v>6001114</v>
      </c>
      <c r="C6">
        <v>2326445</v>
      </c>
      <c r="D6">
        <v>878704</v>
      </c>
      <c r="F6">
        <f>C6/$B6</f>
        <v>0.38766885614904167</v>
      </c>
      <c r="G6">
        <f>D6/$B6</f>
        <v>0.14642348070708205</v>
      </c>
      <c r="I6">
        <f t="shared" si="0"/>
        <v>0.36236947969619404</v>
      </c>
      <c r="J6">
        <f t="shared" si="1"/>
        <v>0.13733649704014433</v>
      </c>
      <c r="L6">
        <f t="shared" si="2"/>
        <v>0.49970597673633838</v>
      </c>
      <c r="M6" s="1">
        <f t="shared" si="3"/>
        <v>4.2184131181586704</v>
      </c>
      <c r="O6" s="2">
        <f t="shared" si="4"/>
        <v>0.72516539038193717</v>
      </c>
      <c r="P6" s="2">
        <f t="shared" si="5"/>
        <v>0.27483460961806283</v>
      </c>
    </row>
    <row r="7" spans="1:16" x14ac:dyDescent="0.25">
      <c r="A7" t="s">
        <v>3</v>
      </c>
      <c r="B7">
        <v>6039480</v>
      </c>
      <c r="C7">
        <v>3051283</v>
      </c>
      <c r="D7">
        <v>184664</v>
      </c>
      <c r="F7">
        <f>C7/$B7</f>
        <v>0.50522280063846559</v>
      </c>
      <c r="G7">
        <f>D7/$B7</f>
        <v>3.0576142316888207E-2</v>
      </c>
      <c r="I7">
        <f t="shared" si="0"/>
        <v>0.47992342418561795</v>
      </c>
      <c r="J7">
        <f t="shared" si="1"/>
        <v>2.1489158649950497E-2</v>
      </c>
      <c r="L7">
        <f t="shared" si="2"/>
        <v>0.50141258283556844</v>
      </c>
      <c r="M7" s="1">
        <f t="shared" si="3"/>
        <v>4.2328199291468849</v>
      </c>
      <c r="O7" s="2">
        <f t="shared" si="4"/>
        <v>0.95714276149907151</v>
      </c>
      <c r="P7" s="2">
        <f t="shared" si="5"/>
        <v>4.2857238500928443E-2</v>
      </c>
    </row>
    <row r="8" spans="1:16" x14ac:dyDescent="0.25">
      <c r="A8" t="s">
        <v>4</v>
      </c>
      <c r="B8">
        <v>6284989</v>
      </c>
      <c r="C8">
        <v>1560963</v>
      </c>
      <c r="D8">
        <v>494909</v>
      </c>
      <c r="F8">
        <f>C8/$B8</f>
        <v>0.24836368050922603</v>
      </c>
      <c r="G8">
        <f>D8/$B8</f>
        <v>7.8744608781335976E-2</v>
      </c>
      <c r="I8">
        <f t="shared" si="0"/>
        <v>0.22306430405637839</v>
      </c>
      <c r="J8">
        <f t="shared" si="1"/>
        <v>6.9657625114398269E-2</v>
      </c>
      <c r="L8">
        <f t="shared" si="2"/>
        <v>0.29272192917077666</v>
      </c>
      <c r="M8" s="1">
        <f t="shared" si="3"/>
        <v>2.471097172084157</v>
      </c>
      <c r="O8" s="2">
        <f t="shared" si="4"/>
        <v>0.76203482495580521</v>
      </c>
      <c r="P8" s="2">
        <f t="shared" si="5"/>
        <v>0.23796517504419484</v>
      </c>
    </row>
    <row r="9" spans="1:16" x14ac:dyDescent="0.25">
      <c r="A9" t="s">
        <v>5</v>
      </c>
      <c r="B9">
        <v>5747820</v>
      </c>
      <c r="C9">
        <v>1386092</v>
      </c>
      <c r="D9">
        <v>369171</v>
      </c>
      <c r="F9">
        <f>C9/$B9</f>
        <v>0.24115090590867494</v>
      </c>
      <c r="G9">
        <f>D9/$B9</f>
        <v>6.4228002964602238E-2</v>
      </c>
      <c r="I9">
        <f t="shared" si="0"/>
        <v>0.21585152945582731</v>
      </c>
      <c r="J9">
        <f t="shared" si="1"/>
        <v>5.5141019297664531E-2</v>
      </c>
      <c r="L9">
        <f t="shared" si="2"/>
        <v>0.27099254875349182</v>
      </c>
      <c r="M9" s="1">
        <f t="shared" si="3"/>
        <v>2.2876622970394282</v>
      </c>
      <c r="O9" s="2">
        <f t="shared" si="4"/>
        <v>0.79652200936408957</v>
      </c>
      <c r="P9" s="2">
        <f t="shared" si="5"/>
        <v>0.20347799063591052</v>
      </c>
    </row>
    <row r="10" spans="1:16" x14ac:dyDescent="0.25">
      <c r="A10" t="s">
        <v>6</v>
      </c>
      <c r="B10">
        <v>6253866</v>
      </c>
      <c r="C10">
        <v>1504502</v>
      </c>
      <c r="D10">
        <v>205583</v>
      </c>
      <c r="F10">
        <f>C10/$B10</f>
        <v>0.24057151208548441</v>
      </c>
      <c r="G10">
        <f>D10/$B10</f>
        <v>3.2872946110453917E-2</v>
      </c>
      <c r="I10">
        <f t="shared" si="0"/>
        <v>0.21527213563263678</v>
      </c>
      <c r="J10">
        <f t="shared" si="1"/>
        <v>2.3785962443516207E-2</v>
      </c>
      <c r="L10">
        <f t="shared" si="2"/>
        <v>0.239058098076153</v>
      </c>
      <c r="M10" s="1">
        <f t="shared" si="3"/>
        <v>2.0180783578231956</v>
      </c>
      <c r="O10" s="2">
        <f t="shared" si="4"/>
        <v>0.90050133153849865</v>
      </c>
      <c r="P10" s="2">
        <f t="shared" si="5"/>
        <v>9.9498668461501294E-2</v>
      </c>
    </row>
    <row r="11" spans="1:16" x14ac:dyDescent="0.25">
      <c r="A11" t="s">
        <v>7</v>
      </c>
      <c r="B11">
        <v>6256431</v>
      </c>
      <c r="C11">
        <v>1799341</v>
      </c>
      <c r="D11">
        <v>114328</v>
      </c>
      <c r="F11">
        <f>C11/$B11</f>
        <v>0.28759863251109141</v>
      </c>
      <c r="G11">
        <f>D11/$B11</f>
        <v>1.8273677117193493E-2</v>
      </c>
      <c r="I11">
        <f t="shared" si="0"/>
        <v>0.26229925605824378</v>
      </c>
      <c r="J11">
        <f t="shared" si="1"/>
        <v>9.1866934502557833E-3</v>
      </c>
      <c r="L11">
        <f t="shared" si="2"/>
        <v>0.27148594950849958</v>
      </c>
      <c r="M11" s="1">
        <f t="shared" si="3"/>
        <v>2.2918274827973169</v>
      </c>
      <c r="O11" s="2">
        <f t="shared" si="4"/>
        <v>0.96616144052063291</v>
      </c>
      <c r="P11" s="2">
        <f t="shared" si="5"/>
        <v>3.3838559479366981E-2</v>
      </c>
    </row>
    <row r="12" spans="1:16" x14ac:dyDescent="0.25">
      <c r="A12" t="s">
        <v>8</v>
      </c>
      <c r="B12">
        <v>5752632</v>
      </c>
      <c r="C12">
        <v>700343</v>
      </c>
      <c r="D12">
        <v>80581</v>
      </c>
      <c r="F12">
        <f>C12/$B12</f>
        <v>0.12174305604808373</v>
      </c>
      <c r="G12">
        <f>D12/$B12</f>
        <v>1.4007675095504111E-2</v>
      </c>
      <c r="I12">
        <f t="shared" si="0"/>
        <v>9.6443679595236115E-2</v>
      </c>
      <c r="J12">
        <f t="shared" si="1"/>
        <v>4.9206914285664007E-3</v>
      </c>
      <c r="L12">
        <f t="shared" si="2"/>
        <v>0.10136437102380251</v>
      </c>
      <c r="M12" s="1">
        <f t="shared" si="3"/>
        <v>0.8556967743980487</v>
      </c>
      <c r="O12" s="2">
        <f t="shared" si="4"/>
        <v>0.95145541397962297</v>
      </c>
      <c r="P12" s="2">
        <f t="shared" si="5"/>
        <v>4.8544586020377097E-2</v>
      </c>
    </row>
    <row r="13" spans="1:16" x14ac:dyDescent="0.25">
      <c r="A13" t="s">
        <v>9</v>
      </c>
      <c r="B13">
        <v>5604456</v>
      </c>
      <c r="C13">
        <v>1130048</v>
      </c>
      <c r="D13">
        <v>95744</v>
      </c>
      <c r="F13">
        <f>C13/$B13</f>
        <v>0.20163384278509813</v>
      </c>
      <c r="G13">
        <f>D13/$B13</f>
        <v>1.7083549232967482E-2</v>
      </c>
      <c r="I13">
        <f t="shared" si="0"/>
        <v>0.1763344663322505</v>
      </c>
      <c r="J13">
        <f t="shared" si="1"/>
        <v>7.9965655660297723E-3</v>
      </c>
      <c r="L13">
        <f t="shared" si="2"/>
        <v>0.18433103189828026</v>
      </c>
      <c r="M13" s="1">
        <f t="shared" si="3"/>
        <v>1.5560839358415546</v>
      </c>
      <c r="O13" s="2">
        <f t="shared" si="4"/>
        <v>0.95661845168618964</v>
      </c>
      <c r="P13" s="2">
        <f t="shared" si="5"/>
        <v>4.3381548313810407E-2</v>
      </c>
    </row>
    <row r="14" spans="1:16" x14ac:dyDescent="0.25">
      <c r="A14" t="s">
        <v>10</v>
      </c>
      <c r="B14">
        <v>6028148</v>
      </c>
      <c r="C14">
        <v>1276267</v>
      </c>
      <c r="D14">
        <v>1124512</v>
      </c>
      <c r="F14">
        <f>C14/$B14</f>
        <v>0.21171792729707367</v>
      </c>
      <c r="G14">
        <f>D14/$B14</f>
        <v>0.18654352879192748</v>
      </c>
      <c r="I14">
        <f t="shared" si="0"/>
        <v>0.18641855084422604</v>
      </c>
      <c r="J14">
        <f t="shared" si="1"/>
        <v>0.17745654512498976</v>
      </c>
      <c r="L14">
        <f t="shared" si="2"/>
        <v>0.3638750959692158</v>
      </c>
      <c r="M14" s="1">
        <f t="shared" si="3"/>
        <v>3.0717572926242775</v>
      </c>
      <c r="O14" s="2">
        <f t="shared" si="4"/>
        <v>0.51231467310969048</v>
      </c>
      <c r="P14" s="2">
        <f t="shared" si="5"/>
        <v>0.48768532689030952</v>
      </c>
    </row>
    <row r="15" spans="1:16" x14ac:dyDescent="0.25">
      <c r="A15" t="s">
        <v>11</v>
      </c>
      <c r="B15">
        <v>6202019</v>
      </c>
      <c r="C15">
        <v>648907</v>
      </c>
      <c r="D15">
        <v>126101</v>
      </c>
      <c r="F15">
        <f>C15/$B15</f>
        <v>0.10462834763969604</v>
      </c>
      <c r="G15">
        <f>D15/$B15</f>
        <v>2.0332249868953964E-2</v>
      </c>
      <c r="I15">
        <f t="shared" si="0"/>
        <v>7.9328971186848424E-2</v>
      </c>
      <c r="J15">
        <f t="shared" si="1"/>
        <v>1.1245266202016255E-2</v>
      </c>
      <c r="L15">
        <f t="shared" si="2"/>
        <v>9.0574237388864678E-2</v>
      </c>
      <c r="M15" s="1">
        <f t="shared" si="3"/>
        <v>0.76460872784397826</v>
      </c>
      <c r="O15" s="2">
        <f t="shared" si="4"/>
        <v>0.87584475976610576</v>
      </c>
      <c r="P15" s="2">
        <f t="shared" si="5"/>
        <v>0.12415524023389418</v>
      </c>
    </row>
    <row r="16" spans="1:16" x14ac:dyDescent="0.25">
      <c r="A16" t="s">
        <v>12</v>
      </c>
      <c r="B16">
        <v>5932521</v>
      </c>
      <c r="C16">
        <v>506612</v>
      </c>
      <c r="D16">
        <v>83674</v>
      </c>
      <c r="F16">
        <f>C16/$B16</f>
        <v>8.5395736483697235E-2</v>
      </c>
      <c r="G16">
        <f>D16/$B16</f>
        <v>1.4104290570568567E-2</v>
      </c>
      <c r="I16">
        <f t="shared" si="0"/>
        <v>6.0096360030849609E-2</v>
      </c>
      <c r="J16">
        <f t="shared" si="1"/>
        <v>5.0173069036308568E-3</v>
      </c>
      <c r="L16">
        <f t="shared" si="2"/>
        <v>6.5113666934480466E-2</v>
      </c>
      <c r="M16" s="1">
        <f t="shared" si="3"/>
        <v>0.54967592855659453</v>
      </c>
      <c r="O16" s="2">
        <f t="shared" si="4"/>
        <v>0.92294541008296405</v>
      </c>
      <c r="P16" s="2">
        <f t="shared" si="5"/>
        <v>7.7054589917035968E-2</v>
      </c>
    </row>
    <row r="17" spans="1:16" x14ac:dyDescent="0.25">
      <c r="A17" t="s">
        <v>13</v>
      </c>
      <c r="B17">
        <v>6531289</v>
      </c>
      <c r="C17">
        <v>1040838</v>
      </c>
      <c r="D17">
        <v>165875</v>
      </c>
      <c r="F17">
        <f>C17/$B17</f>
        <v>0.15936180438501496</v>
      </c>
      <c r="G17">
        <f>D17/$B17</f>
        <v>2.53969775338375E-2</v>
      </c>
      <c r="I17">
        <f t="shared" si="0"/>
        <v>0.13406242793216733</v>
      </c>
      <c r="J17">
        <f t="shared" si="1"/>
        <v>1.630999386689979E-2</v>
      </c>
      <c r="L17">
        <f t="shared" si="2"/>
        <v>0.15037242179906712</v>
      </c>
      <c r="M17" s="1">
        <f t="shared" si="3"/>
        <v>1.2694124670459344</v>
      </c>
      <c r="O17" s="2">
        <f t="shared" si="4"/>
        <v>0.89153600326598592</v>
      </c>
      <c r="P17" s="2">
        <f t="shared" si="5"/>
        <v>0.10846399673401398</v>
      </c>
    </row>
    <row r="18" spans="1:16" x14ac:dyDescent="0.25">
      <c r="A18" t="s">
        <v>14</v>
      </c>
      <c r="B18">
        <v>6116489</v>
      </c>
      <c r="C18">
        <v>1734206</v>
      </c>
      <c r="D18">
        <v>137135</v>
      </c>
      <c r="F18">
        <f>C18/$B18</f>
        <v>0.28352965238717831</v>
      </c>
      <c r="G18">
        <f>D18/$B18</f>
        <v>2.2420542242453146E-2</v>
      </c>
      <c r="I18">
        <f t="shared" si="0"/>
        <v>0.25823027593433068</v>
      </c>
      <c r="J18">
        <f t="shared" si="1"/>
        <v>1.3333558575515436E-2</v>
      </c>
      <c r="L18">
        <f t="shared" si="2"/>
        <v>0.27156383450984611</v>
      </c>
      <c r="M18" s="1">
        <f t="shared" si="3"/>
        <v>2.2924849716541322</v>
      </c>
      <c r="O18" s="2">
        <f t="shared" si="4"/>
        <v>0.95090083110815704</v>
      </c>
      <c r="P18" s="2">
        <f t="shared" si="5"/>
        <v>4.9099168891843001E-2</v>
      </c>
    </row>
    <row r="19" spans="1:16" x14ac:dyDescent="0.25">
      <c r="A19" t="s">
        <v>15</v>
      </c>
      <c r="B19">
        <v>6326185</v>
      </c>
      <c r="C19">
        <v>1284923</v>
      </c>
      <c r="D19">
        <v>895427</v>
      </c>
      <c r="F19">
        <f>C19/$B19</f>
        <v>0.20311182806067163</v>
      </c>
      <c r="G19">
        <f>D19/$B19</f>
        <v>0.14154296783922696</v>
      </c>
      <c r="I19">
        <f t="shared" si="0"/>
        <v>0.177812451607824</v>
      </c>
      <c r="J19">
        <f t="shared" si="1"/>
        <v>0.13245598417228924</v>
      </c>
      <c r="L19">
        <f t="shared" si="2"/>
        <v>0.31026843578011321</v>
      </c>
      <c r="M19" s="1">
        <f t="shared" si="3"/>
        <v>2.6192211031648087</v>
      </c>
      <c r="O19" s="2">
        <f t="shared" si="4"/>
        <v>0.57309230041640269</v>
      </c>
      <c r="P19" s="2">
        <f t="shared" si="5"/>
        <v>0.42690769958359737</v>
      </c>
    </row>
    <row r="20" spans="1:16" x14ac:dyDescent="0.25">
      <c r="A20" t="s">
        <v>16</v>
      </c>
      <c r="B20">
        <v>5621881</v>
      </c>
      <c r="C20">
        <v>1259498</v>
      </c>
      <c r="D20">
        <v>266557</v>
      </c>
      <c r="F20">
        <f>C20/$B20</f>
        <v>0.22403498046294471</v>
      </c>
      <c r="G20">
        <f>D20/$B20</f>
        <v>4.7414201759162104E-2</v>
      </c>
      <c r="I20">
        <f t="shared" si="0"/>
        <v>0.19873560401009707</v>
      </c>
      <c r="J20">
        <f t="shared" si="1"/>
        <v>3.8327218092224391E-2</v>
      </c>
      <c r="L20">
        <f t="shared" si="2"/>
        <v>0.23706282210232146</v>
      </c>
      <c r="M20" s="1">
        <f t="shared" si="3"/>
        <v>2.0012346562582675</v>
      </c>
      <c r="O20" s="2">
        <f t="shared" si="4"/>
        <v>0.83832463583985539</v>
      </c>
      <c r="P20" s="2">
        <f t="shared" si="5"/>
        <v>0.16167536416014458</v>
      </c>
    </row>
    <row r="21" spans="1:16" x14ac:dyDescent="0.25">
      <c r="A21" t="s">
        <v>17</v>
      </c>
      <c r="B21">
        <v>6069827</v>
      </c>
      <c r="C21">
        <v>3262163</v>
      </c>
      <c r="D21">
        <v>174905</v>
      </c>
      <c r="F21">
        <f>C21/$B21</f>
        <v>0.53743920543369683</v>
      </c>
      <c r="G21">
        <f>D21/$B21</f>
        <v>2.8815483538492941E-2</v>
      </c>
      <c r="I21">
        <f t="shared" si="0"/>
        <v>0.5121398289808492</v>
      </c>
      <c r="J21">
        <f t="shared" si="1"/>
        <v>1.9728499871555231E-2</v>
      </c>
      <c r="L21">
        <f t="shared" si="2"/>
        <v>0.53186832885240443</v>
      </c>
      <c r="M21" s="1">
        <f t="shared" si="3"/>
        <v>4.4899209535529172</v>
      </c>
      <c r="O21" s="2">
        <f t="shared" si="4"/>
        <v>0.96290717307021689</v>
      </c>
      <c r="P21" s="2">
        <f t="shared" si="5"/>
        <v>3.7092826929783156E-2</v>
      </c>
    </row>
    <row r="22" spans="1:16" x14ac:dyDescent="0.25">
      <c r="A22" t="s">
        <v>18</v>
      </c>
      <c r="B22">
        <v>6190655</v>
      </c>
      <c r="C22">
        <v>942429</v>
      </c>
      <c r="D22">
        <v>171231</v>
      </c>
      <c r="F22">
        <f>C22/$B22</f>
        <v>0.15223413354483492</v>
      </c>
      <c r="G22">
        <f>D22/$B22</f>
        <v>2.7659593370976093E-2</v>
      </c>
      <c r="I22">
        <f t="shared" si="0"/>
        <v>0.12693475709198729</v>
      </c>
      <c r="J22">
        <f t="shared" si="1"/>
        <v>1.8572609704038383E-2</v>
      </c>
      <c r="L22">
        <f t="shared" si="2"/>
        <v>0.14550736679602566</v>
      </c>
      <c r="M22" s="1">
        <f t="shared" si="3"/>
        <v>1.2283426924167986</v>
      </c>
      <c r="O22" s="2">
        <f t="shared" si="4"/>
        <v>0.872359660455723</v>
      </c>
      <c r="P22" s="2">
        <f t="shared" si="5"/>
        <v>0.12764033954427709</v>
      </c>
    </row>
    <row r="23" spans="1:16" x14ac:dyDescent="0.25">
      <c r="A23" t="s">
        <v>19</v>
      </c>
      <c r="B23">
        <v>5624377</v>
      </c>
      <c r="C23">
        <v>1768397</v>
      </c>
      <c r="D23">
        <v>85594</v>
      </c>
      <c r="F23">
        <f>C23/$B23</f>
        <v>0.31441651226438055</v>
      </c>
      <c r="G23">
        <f>D23/$B23</f>
        <v>1.5218396633084873E-2</v>
      </c>
      <c r="I23">
        <f t="shared" si="0"/>
        <v>0.28911713581153292</v>
      </c>
      <c r="J23">
        <f t="shared" si="1"/>
        <v>6.1314129661471633E-3</v>
      </c>
      <c r="L23">
        <f t="shared" si="2"/>
        <v>0.29524854877768009</v>
      </c>
      <c r="M23" s="1">
        <f t="shared" si="3"/>
        <v>2.4924263652308345</v>
      </c>
      <c r="O23" s="2">
        <f t="shared" si="4"/>
        <v>0.97923304621976626</v>
      </c>
      <c r="P23" s="2">
        <f t="shared" si="5"/>
        <v>2.0766953780233719E-2</v>
      </c>
    </row>
    <row r="24" spans="1:16" x14ac:dyDescent="0.25">
      <c r="A24" t="s">
        <v>20</v>
      </c>
      <c r="B24">
        <v>6277480</v>
      </c>
      <c r="C24">
        <v>4082515</v>
      </c>
      <c r="D24">
        <v>222865</v>
      </c>
      <c r="F24">
        <f>C24/$B24</f>
        <v>0.65034297202061975</v>
      </c>
      <c r="G24">
        <f>D24/$B24</f>
        <v>3.5502303472093898E-2</v>
      </c>
      <c r="I24">
        <f t="shared" si="0"/>
        <v>0.62504359556777211</v>
      </c>
      <c r="J24">
        <f t="shared" si="1"/>
        <v>2.6415319805156188E-2</v>
      </c>
      <c r="L24">
        <f t="shared" si="2"/>
        <v>0.65145891537292833</v>
      </c>
      <c r="M24" s="1">
        <f t="shared" si="3"/>
        <v>5.4994796189931936</v>
      </c>
      <c r="O24" s="2">
        <f t="shared" si="4"/>
        <v>0.95945205571400505</v>
      </c>
      <c r="P24" s="2">
        <f t="shared" si="5"/>
        <v>4.0547944285994938E-2</v>
      </c>
    </row>
    <row r="25" spans="1:16" x14ac:dyDescent="0.25">
      <c r="A25" t="s">
        <v>21</v>
      </c>
      <c r="B25">
        <v>6056791</v>
      </c>
      <c r="C25">
        <v>694945</v>
      </c>
      <c r="D25">
        <v>511053</v>
      </c>
      <c r="F25">
        <f>C25/$B25</f>
        <v>0.11473815094494758</v>
      </c>
      <c r="G25">
        <f>D25/$B25</f>
        <v>8.4376858967066884E-2</v>
      </c>
      <c r="I25">
        <f t="shared" si="0"/>
        <v>8.9438774492099943E-2</v>
      </c>
      <c r="J25">
        <f t="shared" si="1"/>
        <v>7.5289875300129178E-2</v>
      </c>
      <c r="L25">
        <f t="shared" si="2"/>
        <v>0.16472864979222912</v>
      </c>
      <c r="M25" s="1">
        <f t="shared" si="3"/>
        <v>1.3906047347253441</v>
      </c>
      <c r="O25" s="2">
        <f t="shared" si="4"/>
        <v>0.54294607892985425</v>
      </c>
      <c r="P25" s="2">
        <f t="shared" si="5"/>
        <v>0.45705392107014581</v>
      </c>
    </row>
    <row r="26" spans="1:16" x14ac:dyDescent="0.25">
      <c r="A26" t="s">
        <v>22</v>
      </c>
      <c r="B26">
        <v>5764409</v>
      </c>
      <c r="C26">
        <v>2880635</v>
      </c>
      <c r="D26">
        <v>122654</v>
      </c>
      <c r="F26">
        <f>C26/$B26</f>
        <v>0.49972772577379571</v>
      </c>
      <c r="G26">
        <f>D26/$B26</f>
        <v>2.1277810092934071E-2</v>
      </c>
      <c r="I26">
        <f t="shared" si="0"/>
        <v>0.47442834932094807</v>
      </c>
      <c r="J26">
        <f t="shared" si="1"/>
        <v>1.2190826425996362E-2</v>
      </c>
      <c r="L26">
        <f t="shared" si="2"/>
        <v>0.48661917574694441</v>
      </c>
      <c r="M26" s="1">
        <f t="shared" si="3"/>
        <v>4.1079370871755154</v>
      </c>
      <c r="O26" s="2">
        <f t="shared" si="4"/>
        <v>0.97494791197390895</v>
      </c>
      <c r="P26" s="2">
        <f t="shared" si="5"/>
        <v>2.5052088026091129E-2</v>
      </c>
    </row>
    <row r="27" spans="1:16" x14ac:dyDescent="0.25">
      <c r="A27" t="s">
        <v>23</v>
      </c>
      <c r="B27">
        <v>6371683</v>
      </c>
      <c r="C27">
        <v>4760312</v>
      </c>
      <c r="D27">
        <v>162873</v>
      </c>
      <c r="F27">
        <f>C27/$B27</f>
        <v>0.74710433648378305</v>
      </c>
      <c r="G27">
        <f>D27/$B27</f>
        <v>2.5562006145001249E-2</v>
      </c>
      <c r="I27">
        <f t="shared" si="0"/>
        <v>0.72180496003093542</v>
      </c>
      <c r="J27">
        <f t="shared" si="1"/>
        <v>1.6475022478063539E-2</v>
      </c>
      <c r="L27">
        <f t="shared" si="2"/>
        <v>0.73827998250899896</v>
      </c>
      <c r="M27" s="1">
        <f t="shared" si="3"/>
        <v>6.2324048702206358</v>
      </c>
      <c r="O27" s="2">
        <f t="shared" si="4"/>
        <v>0.97768458732678332</v>
      </c>
      <c r="P27" s="2">
        <f t="shared" si="5"/>
        <v>2.2315412673216729E-2</v>
      </c>
    </row>
    <row r="28" spans="1:16" x14ac:dyDescent="0.25">
      <c r="A28" t="s">
        <v>24</v>
      </c>
      <c r="B28">
        <v>6495671</v>
      </c>
      <c r="C28">
        <v>806207</v>
      </c>
      <c r="D28">
        <v>589445</v>
      </c>
      <c r="F28">
        <f>C28/$B28</f>
        <v>0.12411450641511862</v>
      </c>
      <c r="G28">
        <f>D28/$B28</f>
        <v>9.0744281845555289E-2</v>
      </c>
      <c r="I28">
        <f t="shared" si="0"/>
        <v>9.8815129962270987E-2</v>
      </c>
      <c r="J28">
        <f t="shared" si="1"/>
        <v>8.1657298178617582E-2</v>
      </c>
      <c r="L28">
        <f t="shared" si="2"/>
        <v>0.18047242814088857</v>
      </c>
      <c r="M28" s="1">
        <f t="shared" si="3"/>
        <v>1.5235104116778726</v>
      </c>
      <c r="O28" s="2">
        <f t="shared" si="4"/>
        <v>0.54753588113265395</v>
      </c>
      <c r="P28" s="2">
        <f t="shared" si="5"/>
        <v>0.45246411886734611</v>
      </c>
    </row>
    <row r="29" spans="1:16" x14ac:dyDescent="0.25">
      <c r="A29" t="s">
        <v>25</v>
      </c>
      <c r="B29">
        <v>6142316</v>
      </c>
      <c r="C29">
        <v>4001999</v>
      </c>
      <c r="D29">
        <v>152211</v>
      </c>
      <c r="F29">
        <f>C29/$B29</f>
        <v>0.65154560592454047</v>
      </c>
      <c r="G29">
        <f>D29/$B29</f>
        <v>2.4780717892078492E-2</v>
      </c>
      <c r="I29">
        <f t="shared" si="0"/>
        <v>0.62624622947169284</v>
      </c>
      <c r="J29">
        <f t="shared" si="1"/>
        <v>1.5693734225140782E-2</v>
      </c>
      <c r="L29">
        <f t="shared" si="2"/>
        <v>0.64193996369683359</v>
      </c>
      <c r="M29" s="1">
        <f t="shared" si="3"/>
        <v>5.4191226240982866</v>
      </c>
      <c r="O29" s="2">
        <f t="shared" si="4"/>
        <v>0.97555264493152449</v>
      </c>
      <c r="P29" s="2">
        <f t="shared" si="5"/>
        <v>2.4447355068475528E-2</v>
      </c>
    </row>
    <row r="30" spans="1:16" x14ac:dyDescent="0.25">
      <c r="A30" t="s">
        <v>26</v>
      </c>
      <c r="B30">
        <v>6051586</v>
      </c>
      <c r="C30">
        <v>1893506</v>
      </c>
      <c r="D30">
        <v>337754</v>
      </c>
      <c r="F30">
        <f>C30/$B30</f>
        <v>0.31289417352740256</v>
      </c>
      <c r="G30">
        <f>D30/$B30</f>
        <v>5.5812476266552273E-2</v>
      </c>
      <c r="I30">
        <f t="shared" si="0"/>
        <v>0.28759479707455493</v>
      </c>
      <c r="J30">
        <f t="shared" si="1"/>
        <v>4.672549259961456E-2</v>
      </c>
      <c r="L30">
        <f t="shared" si="2"/>
        <v>0.33432028967416949</v>
      </c>
      <c r="M30" s="1">
        <f t="shared" si="3"/>
        <v>2.8222618125142924</v>
      </c>
      <c r="O30" s="2">
        <f t="shared" si="4"/>
        <v>0.86023734112831296</v>
      </c>
      <c r="P30" s="2">
        <f t="shared" si="5"/>
        <v>0.1397626588716871</v>
      </c>
    </row>
    <row r="31" spans="1:16" x14ac:dyDescent="0.25">
      <c r="A31" t="s">
        <v>27</v>
      </c>
      <c r="B31">
        <v>5932426</v>
      </c>
      <c r="C31">
        <v>906147</v>
      </c>
      <c r="D31">
        <v>3480752</v>
      </c>
      <c r="F31">
        <f>C31/$B31</f>
        <v>0.15274476242940072</v>
      </c>
      <c r="G31">
        <f>D31/$B31</f>
        <v>0.58673331955594554</v>
      </c>
      <c r="I31">
        <f t="shared" si="0"/>
        <v>0.12744538597655308</v>
      </c>
      <c r="J31">
        <f t="shared" si="1"/>
        <v>0.57764633588900782</v>
      </c>
      <c r="L31">
        <f t="shared" si="2"/>
        <v>0.70509172186556091</v>
      </c>
      <c r="M31" s="1">
        <f t="shared" si="3"/>
        <v>5.9522365300668456</v>
      </c>
      <c r="O31" s="2">
        <f t="shared" si="4"/>
        <v>0.18075008119419245</v>
      </c>
      <c r="P31" s="2">
        <f t="shared" si="5"/>
        <v>0.81924991880580755</v>
      </c>
    </row>
    <row r="32" spans="1:16" x14ac:dyDescent="0.25">
      <c r="A32" t="s">
        <v>28</v>
      </c>
      <c r="B32">
        <v>5485620</v>
      </c>
      <c r="C32">
        <v>975858</v>
      </c>
      <c r="D32">
        <v>172963</v>
      </c>
      <c r="F32">
        <f>C32/$B32</f>
        <v>0.17789383880035439</v>
      </c>
      <c r="G32">
        <f>D32/$B32</f>
        <v>3.1530255467932519E-2</v>
      </c>
      <c r="I32">
        <f t="shared" si="0"/>
        <v>0.15259446234750676</v>
      </c>
      <c r="J32">
        <f t="shared" si="1"/>
        <v>2.2443271800994809E-2</v>
      </c>
      <c r="L32">
        <f t="shared" si="2"/>
        <v>0.17503773414850157</v>
      </c>
      <c r="M32" s="1">
        <f t="shared" si="3"/>
        <v>1.4776318640959616</v>
      </c>
      <c r="O32" s="2">
        <f t="shared" si="4"/>
        <v>0.87178037975540745</v>
      </c>
      <c r="P32" s="2">
        <f t="shared" si="5"/>
        <v>0.12821962024459249</v>
      </c>
    </row>
    <row r="33" spans="1:16" x14ac:dyDescent="0.25">
      <c r="A33" t="s">
        <v>29</v>
      </c>
      <c r="B33">
        <v>5335064</v>
      </c>
      <c r="C33">
        <v>545444</v>
      </c>
      <c r="D33">
        <v>87561</v>
      </c>
      <c r="F33">
        <f>C33/$B33</f>
        <v>0.10223757390726709</v>
      </c>
      <c r="G33">
        <f>D33/$B33</f>
        <v>1.6412361688632041E-2</v>
      </c>
      <c r="I33">
        <f t="shared" si="0"/>
        <v>7.693819745441946E-2</v>
      </c>
      <c r="J33">
        <f t="shared" si="1"/>
        <v>7.3253780216943308E-3</v>
      </c>
      <c r="L33">
        <f t="shared" si="2"/>
        <v>8.4263575476113795E-2</v>
      </c>
      <c r="M33" s="1">
        <f t="shared" si="3"/>
        <v>0.71133544267961302</v>
      </c>
      <c r="O33" s="2">
        <f t="shared" si="4"/>
        <v>0.9130659008912948</v>
      </c>
      <c r="P33" s="2">
        <f t="shared" si="5"/>
        <v>8.6934099108705115E-2</v>
      </c>
    </row>
    <row r="34" spans="1:16" x14ac:dyDescent="0.25">
      <c r="A34" t="s">
        <v>30</v>
      </c>
      <c r="B34">
        <v>6098547</v>
      </c>
      <c r="C34">
        <v>405714</v>
      </c>
      <c r="D34">
        <v>121224</v>
      </c>
      <c r="F34">
        <f>C34/$B34</f>
        <v>6.6526338158909001E-2</v>
      </c>
      <c r="G34">
        <f>D34/$B34</f>
        <v>1.9877521645729711E-2</v>
      </c>
      <c r="I34">
        <f t="shared" si="0"/>
        <v>4.1226961706061376E-2</v>
      </c>
      <c r="J34">
        <f t="shared" si="1"/>
        <v>1.0790537978792002E-2</v>
      </c>
      <c r="L34">
        <f t="shared" si="2"/>
        <v>5.2017499684853377E-2</v>
      </c>
      <c r="M34" s="1">
        <f t="shared" si="3"/>
        <v>0.43912082956770254</v>
      </c>
      <c r="O34" s="2">
        <f t="shared" si="4"/>
        <v>0.7925594647154095</v>
      </c>
      <c r="P34" s="2">
        <f t="shared" si="5"/>
        <v>0.2074405352845905</v>
      </c>
    </row>
    <row r="35" spans="1:16" x14ac:dyDescent="0.25">
      <c r="A35" t="s">
        <v>31</v>
      </c>
      <c r="B35">
        <v>6349316</v>
      </c>
      <c r="C35">
        <v>1267936</v>
      </c>
      <c r="D35">
        <v>77864</v>
      </c>
      <c r="F35">
        <f>C35/$B35</f>
        <v>0.19969647124194165</v>
      </c>
      <c r="G35">
        <f>D35/$B35</f>
        <v>1.2263368211630985E-2</v>
      </c>
      <c r="I35">
        <f t="shared" si="0"/>
        <v>0.17439709478909401</v>
      </c>
      <c r="J35">
        <f t="shared" si="1"/>
        <v>3.1763845446932757E-3</v>
      </c>
      <c r="L35">
        <f t="shared" si="2"/>
        <v>0.17757347933378728</v>
      </c>
      <c r="M35" s="1">
        <f t="shared" si="3"/>
        <v>1.4990380934626375</v>
      </c>
      <c r="O35" s="2">
        <f t="shared" si="4"/>
        <v>0.98211228074929713</v>
      </c>
      <c r="P35" s="2">
        <f t="shared" si="5"/>
        <v>1.7887719250702875E-2</v>
      </c>
    </row>
    <row r="36" spans="1:16" x14ac:dyDescent="0.25">
      <c r="A36" t="s">
        <v>32</v>
      </c>
      <c r="B36">
        <v>6377761</v>
      </c>
      <c r="C36">
        <v>535789</v>
      </c>
      <c r="D36">
        <v>73377</v>
      </c>
      <c r="F36">
        <f>C36/$B36</f>
        <v>8.4008949222148646E-2</v>
      </c>
      <c r="G36">
        <f>D36/$B36</f>
        <v>1.1505134795737877E-2</v>
      </c>
      <c r="I36">
        <f t="shared" si="0"/>
        <v>5.870957276930102E-2</v>
      </c>
      <c r="J36">
        <f t="shared" si="1"/>
        <v>2.418151128800167E-3</v>
      </c>
      <c r="L36">
        <f t="shared" si="2"/>
        <v>6.1127723898101186E-2</v>
      </c>
      <c r="M36" s="1">
        <f t="shared" si="3"/>
        <v>0.51602743288977693</v>
      </c>
      <c r="O36" s="2">
        <f t="shared" si="4"/>
        <v>0.96044100819406952</v>
      </c>
      <c r="P36" s="2">
        <f t="shared" si="5"/>
        <v>3.9558991805930505E-2</v>
      </c>
    </row>
    <row r="37" spans="1:16" x14ac:dyDescent="0.25">
      <c r="A37" t="s">
        <v>33</v>
      </c>
      <c r="B37">
        <v>6046951</v>
      </c>
      <c r="C37">
        <v>906573</v>
      </c>
      <c r="D37">
        <v>1125167</v>
      </c>
      <c r="F37">
        <f>C37/$B37</f>
        <v>0.14992233275910455</v>
      </c>
      <c r="G37">
        <f>D37/$B37</f>
        <v>0.1860717905602344</v>
      </c>
      <c r="I37">
        <f t="shared" si="0"/>
        <v>0.12462295630625692</v>
      </c>
      <c r="J37">
        <f t="shared" si="1"/>
        <v>0.17698480689329668</v>
      </c>
      <c r="L37">
        <f t="shared" si="2"/>
        <v>0.30160776319955362</v>
      </c>
      <c r="M37" s="1">
        <f t="shared" si="3"/>
        <v>2.5461095205006967</v>
      </c>
      <c r="O37" s="2">
        <f t="shared" si="4"/>
        <v>0.41319545287633153</v>
      </c>
      <c r="P37" s="2">
        <f t="shared" si="5"/>
        <v>0.58680454712366836</v>
      </c>
    </row>
    <row r="38" spans="1:16" x14ac:dyDescent="0.25">
      <c r="A38" t="s">
        <v>34</v>
      </c>
      <c r="B38">
        <v>5842397</v>
      </c>
      <c r="C38">
        <v>915942</v>
      </c>
      <c r="D38">
        <v>217670</v>
      </c>
      <c r="F38">
        <f>C38/$B38</f>
        <v>0.15677503599977885</v>
      </c>
      <c r="G38">
        <f>D38/$B38</f>
        <v>3.7256968329950874E-2</v>
      </c>
      <c r="I38">
        <f t="shared" si="0"/>
        <v>0.13147565954693122</v>
      </c>
      <c r="J38">
        <f t="shared" si="1"/>
        <v>2.8169984663013164E-2</v>
      </c>
      <c r="L38">
        <f t="shared" si="2"/>
        <v>0.15964564420994437</v>
      </c>
      <c r="M38" s="1">
        <f t="shared" si="3"/>
        <v>1.3476950669882752</v>
      </c>
      <c r="O38" s="2">
        <f t="shared" si="4"/>
        <v>0.82354680077605003</v>
      </c>
      <c r="P38" s="2">
        <f t="shared" si="5"/>
        <v>0.17645319922395006</v>
      </c>
    </row>
    <row r="39" spans="1:16" x14ac:dyDescent="0.25">
      <c r="A39" t="s">
        <v>35</v>
      </c>
      <c r="B39">
        <v>5967654</v>
      </c>
      <c r="C39">
        <v>786210</v>
      </c>
      <c r="D39">
        <v>263182</v>
      </c>
      <c r="F39">
        <f>C39/$B39</f>
        <v>0.13174523858119119</v>
      </c>
      <c r="G39">
        <f>D39/$B39</f>
        <v>4.4101417407912721E-2</v>
      </c>
      <c r="I39">
        <f t="shared" si="0"/>
        <v>0.10644586212834356</v>
      </c>
      <c r="J39">
        <f t="shared" si="1"/>
        <v>3.5014433740975015E-2</v>
      </c>
      <c r="L39">
        <f t="shared" si="2"/>
        <v>0.14146029586931858</v>
      </c>
      <c r="M39" s="1">
        <f t="shared" si="3"/>
        <v>1.1941781679121264</v>
      </c>
      <c r="O39" s="2">
        <f t="shared" si="4"/>
        <v>0.75247871831597579</v>
      </c>
      <c r="P39" s="2">
        <f t="shared" si="5"/>
        <v>0.24752128168402424</v>
      </c>
    </row>
    <row r="40" spans="1:16" x14ac:dyDescent="0.25">
      <c r="A40" t="s">
        <v>36</v>
      </c>
      <c r="B40">
        <v>6145469</v>
      </c>
      <c r="C40">
        <v>557684</v>
      </c>
      <c r="D40">
        <v>86980</v>
      </c>
      <c r="F40">
        <f>C40/$B40</f>
        <v>9.074718300588612E-2</v>
      </c>
      <c r="G40">
        <f>D40/$B40</f>
        <v>1.4153517005781007E-2</v>
      </c>
      <c r="I40">
        <f t="shared" si="0"/>
        <v>6.5447806553038501E-2</v>
      </c>
      <c r="J40">
        <f t="shared" si="1"/>
        <v>5.066533338843297E-3</v>
      </c>
      <c r="L40">
        <f t="shared" si="2"/>
        <v>7.05143398918818E-2</v>
      </c>
      <c r="M40" s="1">
        <f t="shared" si="3"/>
        <v>0.59526727769190269</v>
      </c>
      <c r="O40" s="2">
        <f t="shared" si="4"/>
        <v>0.92814889359225783</v>
      </c>
      <c r="P40" s="2">
        <f t="shared" si="5"/>
        <v>7.1851106407742157E-2</v>
      </c>
    </row>
    <row r="41" spans="1:16" x14ac:dyDescent="0.25">
      <c r="A41" t="s">
        <v>37</v>
      </c>
      <c r="B41">
        <v>6210594</v>
      </c>
      <c r="C41">
        <v>986813</v>
      </c>
      <c r="D41">
        <v>489539</v>
      </c>
      <c r="F41">
        <f>C41/$B41</f>
        <v>0.15889188699180787</v>
      </c>
      <c r="G41">
        <f>D41/$B41</f>
        <v>7.8823217231717285E-2</v>
      </c>
      <c r="I41">
        <f t="shared" si="0"/>
        <v>0.13359251053896024</v>
      </c>
      <c r="J41">
        <f t="shared" si="1"/>
        <v>6.9736233564779579E-2</v>
      </c>
      <c r="L41">
        <f t="shared" si="2"/>
        <v>0.2033287441037398</v>
      </c>
      <c r="M41" s="1">
        <f t="shared" si="3"/>
        <v>1.7164586403946647</v>
      </c>
      <c r="O41" s="2">
        <f t="shared" si="4"/>
        <v>0.65702717600419724</v>
      </c>
      <c r="P41" s="2">
        <f t="shared" si="5"/>
        <v>0.34297282399580281</v>
      </c>
    </row>
    <row r="42" spans="1:16" x14ac:dyDescent="0.25">
      <c r="A42" t="s">
        <v>38</v>
      </c>
      <c r="B42">
        <v>5996802</v>
      </c>
      <c r="C42">
        <v>477086</v>
      </c>
      <c r="D42">
        <v>66488</v>
      </c>
      <c r="F42">
        <f>C42/$B42</f>
        <v>7.9556737074193876E-2</v>
      </c>
      <c r="G42">
        <f>D42/$B42</f>
        <v>1.1087242833763729E-2</v>
      </c>
      <c r="I42">
        <f t="shared" si="0"/>
        <v>5.425736062134625E-2</v>
      </c>
      <c r="J42">
        <f t="shared" si="1"/>
        <v>2.000259166826019E-3</v>
      </c>
      <c r="L42">
        <f t="shared" si="2"/>
        <v>5.6257619788172272E-2</v>
      </c>
      <c r="M42" s="1">
        <f t="shared" si="3"/>
        <v>0.47491503475858077</v>
      </c>
      <c r="O42" s="2">
        <f t="shared" si="4"/>
        <v>0.96444465346458608</v>
      </c>
      <c r="P42" s="2">
        <f t="shared" si="5"/>
        <v>3.5555346535413819E-2</v>
      </c>
    </row>
    <row r="43" spans="1:16" x14ac:dyDescent="0.25">
      <c r="A43" t="s">
        <v>39</v>
      </c>
      <c r="B43">
        <v>5781473</v>
      </c>
      <c r="C43">
        <v>231767</v>
      </c>
      <c r="D43">
        <v>70332</v>
      </c>
      <c r="F43">
        <f>C43/$B43</f>
        <v>4.008788071828754E-2</v>
      </c>
      <c r="G43">
        <f>D43/$B43</f>
        <v>1.2165065892377255E-2</v>
      </c>
      <c r="I43">
        <f t="shared" si="0"/>
        <v>1.4788504265439914E-2</v>
      </c>
      <c r="J43">
        <f t="shared" si="1"/>
        <v>3.0780822254395449E-3</v>
      </c>
      <c r="L43">
        <f t="shared" si="2"/>
        <v>1.7866586490879459E-2</v>
      </c>
      <c r="M43" s="1">
        <f t="shared" si="3"/>
        <v>0.1508259783524851</v>
      </c>
      <c r="O43" s="2">
        <f t="shared" si="4"/>
        <v>0.82771850532216407</v>
      </c>
      <c r="P43" s="2">
        <f t="shared" si="5"/>
        <v>0.17228149467783593</v>
      </c>
    </row>
    <row r="44" spans="1:16" x14ac:dyDescent="0.25">
      <c r="A44" t="s">
        <v>40</v>
      </c>
      <c r="B44">
        <v>5637661</v>
      </c>
      <c r="C44">
        <v>1305089</v>
      </c>
      <c r="D44">
        <v>125163</v>
      </c>
      <c r="F44">
        <f>C44/$B44</f>
        <v>0.23149476351983561</v>
      </c>
      <c r="G44">
        <f>D44/$B44</f>
        <v>2.22012284881975E-2</v>
      </c>
      <c r="I44">
        <f t="shared" si="0"/>
        <v>0.20619538706698798</v>
      </c>
      <c r="J44">
        <f t="shared" si="1"/>
        <v>1.311424482125979E-2</v>
      </c>
      <c r="L44">
        <f t="shared" si="2"/>
        <v>0.21930963188824776</v>
      </c>
      <c r="M44" s="1">
        <f t="shared" si="3"/>
        <v>1.8513659455069267</v>
      </c>
      <c r="O44" s="2">
        <f t="shared" si="4"/>
        <v>0.94020214840384975</v>
      </c>
      <c r="P44" s="2">
        <f t="shared" si="5"/>
        <v>5.9797851596150295E-2</v>
      </c>
    </row>
    <row r="45" spans="1:16" x14ac:dyDescent="0.25">
      <c r="A45" t="s">
        <v>41</v>
      </c>
      <c r="B45">
        <v>5873347</v>
      </c>
      <c r="C45">
        <v>2095571</v>
      </c>
      <c r="D45">
        <v>260443</v>
      </c>
      <c r="F45">
        <f>C45/$B45</f>
        <v>0.35679332414720261</v>
      </c>
      <c r="G45">
        <f>D45/$B45</f>
        <v>4.4343199882452035E-2</v>
      </c>
      <c r="I45">
        <f t="shared" si="0"/>
        <v>0.33149394769435497</v>
      </c>
      <c r="J45">
        <f t="shared" si="1"/>
        <v>3.5256216215514322E-2</v>
      </c>
      <c r="L45">
        <f t="shared" si="2"/>
        <v>0.36675016390986931</v>
      </c>
      <c r="M45" s="1">
        <f t="shared" si="3"/>
        <v>3.0960280135703457</v>
      </c>
      <c r="O45" s="2">
        <f t="shared" si="4"/>
        <v>0.90386857407327914</v>
      </c>
      <c r="P45" s="2">
        <f t="shared" si="5"/>
        <v>9.6131425926720818E-2</v>
      </c>
    </row>
    <row r="46" spans="1:16" x14ac:dyDescent="0.25">
      <c r="A46" t="s">
        <v>42</v>
      </c>
      <c r="B46">
        <v>5672834</v>
      </c>
      <c r="C46">
        <v>1869558</v>
      </c>
      <c r="D46">
        <v>355476</v>
      </c>
      <c r="F46">
        <f>C46/$B46</f>
        <v>0.32956331879268808</v>
      </c>
      <c r="G46">
        <f>D46/$B46</f>
        <v>6.2662859516072561E-2</v>
      </c>
      <c r="I46">
        <f t="shared" si="0"/>
        <v>0.30426394233984044</v>
      </c>
      <c r="J46">
        <f t="shared" si="1"/>
        <v>5.3575875849134855E-2</v>
      </c>
      <c r="L46">
        <f t="shared" si="2"/>
        <v>0.35783981818897531</v>
      </c>
      <c r="M46" s="1">
        <f t="shared" si="3"/>
        <v>3.0208087425865595</v>
      </c>
      <c r="O46" s="2">
        <f t="shared" si="4"/>
        <v>0.85027972538024976</v>
      </c>
      <c r="P46" s="2">
        <f t="shared" si="5"/>
        <v>0.14972027461975015</v>
      </c>
    </row>
    <row r="47" spans="1:16" x14ac:dyDescent="0.25">
      <c r="A47" t="s">
        <v>43</v>
      </c>
      <c r="B47">
        <v>5809106</v>
      </c>
      <c r="C47">
        <v>1869444</v>
      </c>
      <c r="D47">
        <v>858858</v>
      </c>
      <c r="F47">
        <f>C47/$B47</f>
        <v>0.3218126851188462</v>
      </c>
      <c r="G47">
        <f>D47/$B47</f>
        <v>0.14784684596906994</v>
      </c>
      <c r="I47">
        <f t="shared" si="0"/>
        <v>0.29651330866599857</v>
      </c>
      <c r="J47">
        <f t="shared" si="1"/>
        <v>0.13875986230213222</v>
      </c>
      <c r="L47">
        <f t="shared" si="2"/>
        <v>0.43527317096813078</v>
      </c>
      <c r="M47" s="1">
        <f t="shared" si="3"/>
        <v>3.6744848768605087</v>
      </c>
      <c r="O47" s="2">
        <f t="shared" si="4"/>
        <v>0.68121200304281615</v>
      </c>
      <c r="P47" s="2">
        <f t="shared" si="5"/>
        <v>0.31878799695718379</v>
      </c>
    </row>
    <row r="48" spans="1:16" x14ac:dyDescent="0.25">
      <c r="A48" t="s">
        <v>44</v>
      </c>
      <c r="B48">
        <v>6026353</v>
      </c>
      <c r="C48">
        <v>3741848</v>
      </c>
      <c r="D48">
        <v>316391</v>
      </c>
      <c r="F48">
        <f>C48/$B48</f>
        <v>0.62091417479195132</v>
      </c>
      <c r="G48">
        <f>D48/$B48</f>
        <v>5.2501239140820326E-2</v>
      </c>
      <c r="I48">
        <f t="shared" si="0"/>
        <v>0.59561479833910369</v>
      </c>
      <c r="J48">
        <f t="shared" si="1"/>
        <v>4.3414255473882613E-2</v>
      </c>
      <c r="L48">
        <f t="shared" si="2"/>
        <v>0.63902905381298636</v>
      </c>
      <c r="M48" s="1">
        <f t="shared" si="3"/>
        <v>5.3945493329801817</v>
      </c>
      <c r="O48" s="2">
        <f t="shared" si="4"/>
        <v>0.93206215708841933</v>
      </c>
      <c r="P48" s="2">
        <f t="shared" si="5"/>
        <v>6.7937842911580532E-2</v>
      </c>
    </row>
    <row r="49" spans="1:16" x14ac:dyDescent="0.25">
      <c r="A49" t="s">
        <v>45</v>
      </c>
      <c r="B49">
        <v>5581870</v>
      </c>
      <c r="C49">
        <v>1337472</v>
      </c>
      <c r="D49">
        <v>116705</v>
      </c>
      <c r="F49">
        <f>C49/$B49</f>
        <v>0.23961002316428007</v>
      </c>
      <c r="G49">
        <f>D49/$B49</f>
        <v>2.0907867793409734E-2</v>
      </c>
      <c r="I49">
        <f t="shared" si="0"/>
        <v>0.21431064671143243</v>
      </c>
      <c r="J49">
        <f t="shared" si="1"/>
        <v>1.1820884126472024E-2</v>
      </c>
      <c r="L49">
        <f t="shared" si="2"/>
        <v>0.22613153083790447</v>
      </c>
      <c r="M49" s="1">
        <f t="shared" si="3"/>
        <v>1.9089549865825124</v>
      </c>
      <c r="O49" s="2">
        <f t="shared" si="4"/>
        <v>0.94772562639685365</v>
      </c>
      <c r="P49" s="2">
        <f t="shared" si="5"/>
        <v>5.227437360314633E-2</v>
      </c>
    </row>
    <row r="50" spans="1:16" x14ac:dyDescent="0.25">
      <c r="A50" t="s">
        <v>46</v>
      </c>
      <c r="B50">
        <v>6095506</v>
      </c>
      <c r="C50">
        <v>1085385</v>
      </c>
      <c r="D50">
        <v>145118</v>
      </c>
      <c r="F50">
        <f>C50/$B50</f>
        <v>0.17806315013060442</v>
      </c>
      <c r="G50">
        <f>D50/$B50</f>
        <v>2.38073754664502E-2</v>
      </c>
      <c r="I50">
        <f t="shared" si="0"/>
        <v>0.15276377367775679</v>
      </c>
      <c r="J50">
        <f t="shared" si="1"/>
        <v>1.472039179951249E-2</v>
      </c>
      <c r="L50">
        <f t="shared" si="2"/>
        <v>0.16748416547726927</v>
      </c>
      <c r="M50" s="1">
        <f t="shared" si="3"/>
        <v>1.4138662205874564</v>
      </c>
      <c r="O50" s="2">
        <f t="shared" si="4"/>
        <v>0.91210875513177803</v>
      </c>
      <c r="P50" s="2">
        <f t="shared" si="5"/>
        <v>8.7891244868222015E-2</v>
      </c>
    </row>
    <row r="51" spans="1:16" x14ac:dyDescent="0.25">
      <c r="A51" t="s">
        <v>47</v>
      </c>
      <c r="B51">
        <v>5560493</v>
      </c>
      <c r="C51">
        <v>1054167</v>
      </c>
      <c r="D51">
        <v>65473</v>
      </c>
      <c r="F51">
        <f>C51/$B51</f>
        <v>0.18958157127434563</v>
      </c>
      <c r="G51">
        <f>D51/$B51</f>
        <v>1.1774675375007216E-2</v>
      </c>
      <c r="I51">
        <f t="shared" si="0"/>
        <v>0.164282194821498</v>
      </c>
      <c r="J51">
        <f t="shared" si="1"/>
        <v>2.6876917080695065E-3</v>
      </c>
      <c r="L51">
        <f t="shared" si="2"/>
        <v>0.16696988652956751</v>
      </c>
      <c r="M51" s="1">
        <f t="shared" si="3"/>
        <v>1.4095247855028754</v>
      </c>
      <c r="O51" s="2">
        <f t="shared" si="4"/>
        <v>0.98390313508661598</v>
      </c>
      <c r="P51" s="2">
        <f t="shared" si="5"/>
        <v>1.609686491338402E-2</v>
      </c>
    </row>
    <row r="52" spans="1:16" x14ac:dyDescent="0.25">
      <c r="A52" t="s">
        <v>48</v>
      </c>
      <c r="B52">
        <v>6089990</v>
      </c>
      <c r="C52">
        <v>966534</v>
      </c>
      <c r="D52">
        <v>418647</v>
      </c>
      <c r="F52">
        <f>C52/$B52</f>
        <v>0.15870863498954843</v>
      </c>
      <c r="G52">
        <f>D52/$B52</f>
        <v>6.8743462632943564E-2</v>
      </c>
      <c r="I52">
        <f t="shared" si="0"/>
        <v>0.1334092585367008</v>
      </c>
      <c r="J52">
        <f t="shared" si="1"/>
        <v>5.9656478966005858E-2</v>
      </c>
      <c r="L52">
        <f t="shared" si="2"/>
        <v>0.19306573750270667</v>
      </c>
      <c r="M52" s="1">
        <f t="shared" si="3"/>
        <v>1.6298204897759654</v>
      </c>
      <c r="O52" s="2">
        <f t="shared" si="4"/>
        <v>0.69100431936987516</v>
      </c>
      <c r="P52" s="2">
        <f t="shared" si="5"/>
        <v>0.30899568063012478</v>
      </c>
    </row>
    <row r="53" spans="1:16" x14ac:dyDescent="0.25">
      <c r="A53" t="s">
        <v>49</v>
      </c>
      <c r="B53">
        <v>5326670</v>
      </c>
      <c r="C53">
        <v>3378390</v>
      </c>
      <c r="D53">
        <v>73748</v>
      </c>
      <c r="F53">
        <f>C53/$B53</f>
        <v>0.63424052926124574</v>
      </c>
      <c r="G53">
        <f>D53/$B53</f>
        <v>1.3845047656415735E-2</v>
      </c>
      <c r="I53">
        <f t="shared" si="0"/>
        <v>0.60894115280839811</v>
      </c>
      <c r="J53">
        <f t="shared" si="1"/>
        <v>4.7580639894780254E-3</v>
      </c>
      <c r="L53">
        <f t="shared" si="2"/>
        <v>0.61369921679787609</v>
      </c>
      <c r="M53" s="1">
        <f t="shared" si="3"/>
        <v>5.1807201579856619</v>
      </c>
      <c r="O53" s="2">
        <f t="shared" si="4"/>
        <v>0.99224691207151228</v>
      </c>
      <c r="P53" s="2">
        <f t="shared" si="5"/>
        <v>7.7530879284877915E-3</v>
      </c>
    </row>
    <row r="54" spans="1:16" x14ac:dyDescent="0.25">
      <c r="A54" t="s">
        <v>50</v>
      </c>
      <c r="B54">
        <v>5998897</v>
      </c>
      <c r="C54">
        <v>661345</v>
      </c>
      <c r="D54">
        <v>219518</v>
      </c>
      <c r="F54">
        <f>C54/$B54</f>
        <v>0.11024443326831583</v>
      </c>
      <c r="G54">
        <f>D54/$B54</f>
        <v>3.6593060357595741E-2</v>
      </c>
      <c r="I54">
        <f t="shared" si="0"/>
        <v>8.4945056815468212E-2</v>
      </c>
      <c r="J54">
        <f t="shared" si="1"/>
        <v>2.7506076690658032E-2</v>
      </c>
      <c r="L54">
        <f t="shared" si="2"/>
        <v>0.11245113350612625</v>
      </c>
      <c r="M54" s="1">
        <f t="shared" si="3"/>
        <v>0.94928889950889261</v>
      </c>
      <c r="O54" s="2">
        <f t="shared" si="4"/>
        <v>0.7553952918655148</v>
      </c>
      <c r="P54" s="2">
        <f t="shared" si="5"/>
        <v>0.24460470813448512</v>
      </c>
    </row>
    <row r="55" spans="1:16" x14ac:dyDescent="0.25">
      <c r="A55" t="s">
        <v>50</v>
      </c>
      <c r="B55">
        <v>5978596</v>
      </c>
      <c r="C55">
        <v>631850</v>
      </c>
      <c r="D55">
        <v>220723</v>
      </c>
      <c r="F55">
        <f>C55/$B55</f>
        <v>0.10568534819880789</v>
      </c>
      <c r="G55">
        <f>D55/$B55</f>
        <v>3.6918868577170964E-2</v>
      </c>
      <c r="I55">
        <f t="shared" si="0"/>
        <v>8.0385971745960266E-2</v>
      </c>
      <c r="J55">
        <f t="shared" si="1"/>
        <v>2.7831884910233255E-2</v>
      </c>
      <c r="L55">
        <f t="shared" si="2"/>
        <v>0.10821785665619352</v>
      </c>
      <c r="M55" s="1">
        <f t="shared" si="3"/>
        <v>0.91355246362876708</v>
      </c>
      <c r="O55" s="2">
        <f t="shared" si="4"/>
        <v>0.74281615095506159</v>
      </c>
      <c r="P55" s="2">
        <f t="shared" si="5"/>
        <v>0.25718384904493841</v>
      </c>
    </row>
    <row r="56" spans="1:16" x14ac:dyDescent="0.25">
      <c r="A56" t="s">
        <v>50</v>
      </c>
      <c r="B56">
        <v>6067008</v>
      </c>
      <c r="C56">
        <v>719743</v>
      </c>
      <c r="D56">
        <v>258499</v>
      </c>
      <c r="F56">
        <f>C56/$B56</f>
        <v>0.11863228134856588</v>
      </c>
      <c r="G56">
        <f>D56/$B56</f>
        <v>4.2607328027258244E-2</v>
      </c>
      <c r="I56">
        <f t="shared" si="0"/>
        <v>9.3332904895718244E-2</v>
      </c>
      <c r="J56">
        <f t="shared" si="1"/>
        <v>3.3520344360320531E-2</v>
      </c>
      <c r="L56">
        <f t="shared" si="2"/>
        <v>0.12685324925603877</v>
      </c>
      <c r="M56" s="1">
        <f t="shared" si="3"/>
        <v>1.0708685420128015</v>
      </c>
      <c r="O56" s="2">
        <f t="shared" si="4"/>
        <v>0.73575494079254089</v>
      </c>
      <c r="P56" s="2">
        <f t="shared" si="5"/>
        <v>0.26424505920745911</v>
      </c>
    </row>
    <row r="57" spans="1:16" x14ac:dyDescent="0.25">
      <c r="A57" t="s">
        <v>50</v>
      </c>
      <c r="B57">
        <v>5859320</v>
      </c>
      <c r="C57">
        <v>701352</v>
      </c>
      <c r="D57">
        <v>240541</v>
      </c>
      <c r="F57">
        <f>C57/$B57</f>
        <v>0.11969853157021634</v>
      </c>
      <c r="G57">
        <f>D57/$B57</f>
        <v>4.1052716014827656E-2</v>
      </c>
      <c r="I57">
        <f t="shared" si="0"/>
        <v>9.439915511736871E-2</v>
      </c>
      <c r="J57">
        <f t="shared" si="1"/>
        <v>3.196573234788995E-2</v>
      </c>
      <c r="L57">
        <f t="shared" si="2"/>
        <v>0.12636488746525865</v>
      </c>
      <c r="M57" s="1">
        <f t="shared" si="3"/>
        <v>1.0667458941347647</v>
      </c>
      <c r="O57" s="2">
        <f t="shared" si="4"/>
        <v>0.74703627733077171</v>
      </c>
      <c r="P57" s="2">
        <f t="shared" si="5"/>
        <v>0.25296372266922845</v>
      </c>
    </row>
    <row r="58" spans="1:16" x14ac:dyDescent="0.25">
      <c r="A58" t="s">
        <v>51</v>
      </c>
      <c r="B58">
        <v>6444613</v>
      </c>
      <c r="C58">
        <v>161984</v>
      </c>
      <c r="D58">
        <v>57812</v>
      </c>
      <c r="F58">
        <f>C58/$B58</f>
        <v>2.5134790871073252E-2</v>
      </c>
      <c r="G58">
        <f>D58/$B58</f>
        <v>8.9705929588014058E-3</v>
      </c>
      <c r="I58">
        <v>0</v>
      </c>
      <c r="J58">
        <v>0</v>
      </c>
      <c r="L58">
        <f t="shared" si="2"/>
        <v>0</v>
      </c>
      <c r="M58" s="1">
        <f t="shared" si="3"/>
        <v>0</v>
      </c>
      <c r="O58" s="2"/>
      <c r="P58" s="2"/>
    </row>
    <row r="59" spans="1:16" x14ac:dyDescent="0.25">
      <c r="A59" t="s">
        <v>51</v>
      </c>
      <c r="B59">
        <v>7941789</v>
      </c>
      <c r="C59">
        <v>201983</v>
      </c>
      <c r="D59">
        <v>72917</v>
      </c>
      <c r="F59">
        <f>C59/$B59</f>
        <v>2.5432934569276519E-2</v>
      </c>
      <c r="G59">
        <f>D59/$B59</f>
        <v>9.1814325462436733E-3</v>
      </c>
      <c r="I59">
        <v>0</v>
      </c>
      <c r="J59">
        <v>0</v>
      </c>
      <c r="L59">
        <f t="shared" si="2"/>
        <v>0</v>
      </c>
      <c r="M59" s="1">
        <f t="shared" si="3"/>
        <v>0</v>
      </c>
      <c r="O59" s="2"/>
      <c r="P59" s="2"/>
    </row>
    <row r="60" spans="1:16" x14ac:dyDescent="0.25">
      <c r="A60" t="s">
        <v>55</v>
      </c>
      <c r="B60">
        <f>AVERAGE(B54:B57)</f>
        <v>5975955.25</v>
      </c>
      <c r="C60">
        <f t="shared" ref="C60:D60" si="6">AVERAGE(C54:C57)</f>
        <v>678572.5</v>
      </c>
      <c r="D60">
        <f t="shared" si="6"/>
        <v>234820.25</v>
      </c>
      <c r="F60">
        <f t="shared" ref="F60:F61" si="7">C60/$B60</f>
        <v>0.11355046542559033</v>
      </c>
      <c r="G60">
        <f t="shared" ref="G60:G61" si="8">D60/$B60</f>
        <v>3.9294178114871257E-2</v>
      </c>
      <c r="I60">
        <f t="shared" si="0"/>
        <v>8.8251088972742697E-2</v>
      </c>
      <c r="J60">
        <f t="shared" si="1"/>
        <v>3.0207194447933548E-2</v>
      </c>
      <c r="L60">
        <f t="shared" si="2"/>
        <v>0.11845828342067624</v>
      </c>
      <c r="M60" s="1">
        <f t="shared" si="3"/>
        <v>1</v>
      </c>
      <c r="O60" s="2">
        <f t="shared" si="4"/>
        <v>0.74499719584269242</v>
      </c>
      <c r="P60" s="2">
        <f t="shared" si="5"/>
        <v>0.25500280415730764</v>
      </c>
    </row>
    <row r="61" spans="1:16" x14ac:dyDescent="0.25">
      <c r="A61" t="s">
        <v>56</v>
      </c>
      <c r="B61">
        <f>AVERAGE(B58:B59)</f>
        <v>7193201</v>
      </c>
      <c r="C61">
        <f t="shared" ref="C61:D61" si="9">AVERAGE(C58:C59)</f>
        <v>181983.5</v>
      </c>
      <c r="D61">
        <f t="shared" si="9"/>
        <v>65364.5</v>
      </c>
      <c r="F61">
        <f t="shared" si="7"/>
        <v>2.5299376452847626E-2</v>
      </c>
      <c r="G61">
        <f t="shared" si="8"/>
        <v>9.0869836669377098E-3</v>
      </c>
      <c r="I61">
        <f t="shared" si="0"/>
        <v>0</v>
      </c>
      <c r="J61">
        <f t="shared" si="1"/>
        <v>0</v>
      </c>
      <c r="L61">
        <f t="shared" si="2"/>
        <v>0</v>
      </c>
      <c r="M61" s="1">
        <f t="shared" si="3"/>
        <v>0</v>
      </c>
      <c r="O61" s="2"/>
      <c r="P61" s="2"/>
    </row>
    <row r="63" spans="1:16" x14ac:dyDescent="0.25">
      <c r="A63" t="s">
        <v>68</v>
      </c>
    </row>
  </sheetData>
  <mergeCells count="3">
    <mergeCell ref="B1:D1"/>
    <mergeCell ref="F1:G1"/>
    <mergeCell ref="I1:J1"/>
  </mergeCells>
  <phoneticPr fontId="2" type="noConversion"/>
  <conditionalFormatting sqref="O4:O57">
    <cfRule type="colorScale" priority="3">
      <colorScale>
        <cfvo type="min"/>
        <cfvo type="max"/>
        <color theme="0"/>
        <color theme="4"/>
      </colorScale>
    </cfRule>
  </conditionalFormatting>
  <conditionalFormatting sqref="P4:P57">
    <cfRule type="colorScale" priority="2">
      <colorScale>
        <cfvo type="min"/>
        <cfvo type="max"/>
        <color theme="0"/>
        <color theme="5"/>
      </colorScale>
    </cfRule>
  </conditionalFormatting>
  <conditionalFormatting sqref="M4:M61">
    <cfRule type="colorScale" priority="1">
      <colorScale>
        <cfvo type="min"/>
        <cfvo type="max"/>
        <color theme="0"/>
        <color theme="1" tint="0.4999847407452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315A-8030-417D-A5EE-A34D6BDA6A60}">
  <dimension ref="A1:D44"/>
  <sheetViews>
    <sheetView workbookViewId="0">
      <selection activeCell="J23" sqref="J23"/>
    </sheetView>
  </sheetViews>
  <sheetFormatPr defaultRowHeight="15" x14ac:dyDescent="0.25"/>
  <cols>
    <col min="1" max="1" width="10.7109375" bestFit="1" customWidth="1"/>
    <col min="2" max="2" width="13.140625" customWidth="1"/>
  </cols>
  <sheetData>
    <row r="1" spans="1:4" x14ac:dyDescent="0.25">
      <c r="B1" t="s">
        <v>57</v>
      </c>
      <c r="C1" s="3" t="s">
        <v>58</v>
      </c>
      <c r="D1" s="3"/>
    </row>
    <row r="2" spans="1:4" x14ac:dyDescent="0.25">
      <c r="C2" t="s">
        <v>53</v>
      </c>
      <c r="D2" t="s">
        <v>54</v>
      </c>
    </row>
    <row r="3" spans="1:4" x14ac:dyDescent="0.25">
      <c r="A3" t="s">
        <v>0</v>
      </c>
      <c r="B3" s="1">
        <v>3.2671091579548928</v>
      </c>
      <c r="C3" s="2">
        <v>0.79360457058616307</v>
      </c>
      <c r="D3" s="2">
        <v>0.20639542941383698</v>
      </c>
    </row>
    <row r="4" spans="1:4" x14ac:dyDescent="0.25">
      <c r="A4" t="s">
        <v>1</v>
      </c>
      <c r="B4" s="1">
        <v>3.1116891145216914</v>
      </c>
      <c r="C4" s="2">
        <v>0.86871057798214313</v>
      </c>
      <c r="D4" s="2">
        <v>0.13128942201785693</v>
      </c>
    </row>
    <row r="5" spans="1:4" x14ac:dyDescent="0.25">
      <c r="A5" t="s">
        <v>2</v>
      </c>
      <c r="B5" s="1">
        <v>4.2184131181586704</v>
      </c>
      <c r="C5" s="2">
        <v>0.72516539038193717</v>
      </c>
      <c r="D5" s="2">
        <v>0.27483460961806283</v>
      </c>
    </row>
    <row r="6" spans="1:4" x14ac:dyDescent="0.25">
      <c r="A6" t="s">
        <v>3</v>
      </c>
      <c r="B6" s="1">
        <v>4.2328199291468849</v>
      </c>
      <c r="C6" s="2">
        <v>0.95714276149907151</v>
      </c>
      <c r="D6" s="2">
        <v>4.2857238500928443E-2</v>
      </c>
    </row>
    <row r="7" spans="1:4" x14ac:dyDescent="0.25">
      <c r="A7" t="s">
        <v>4</v>
      </c>
      <c r="B7" s="1">
        <v>2.471097172084157</v>
      </c>
      <c r="C7" s="2">
        <v>0.76203482495580521</v>
      </c>
      <c r="D7" s="2">
        <v>0.23796517504419484</v>
      </c>
    </row>
    <row r="8" spans="1:4" x14ac:dyDescent="0.25">
      <c r="A8" t="s">
        <v>5</v>
      </c>
      <c r="B8" s="1">
        <v>2.2876622970394282</v>
      </c>
      <c r="C8" s="2">
        <v>0.79652200936408957</v>
      </c>
      <c r="D8" s="2">
        <v>0.20347799063591052</v>
      </c>
    </row>
    <row r="9" spans="1:4" x14ac:dyDescent="0.25">
      <c r="A9" t="s">
        <v>6</v>
      </c>
      <c r="B9" s="1">
        <v>2.0180783578231956</v>
      </c>
      <c r="C9" s="2">
        <v>0.90050133153849865</v>
      </c>
      <c r="D9" s="2">
        <v>9.9498668461501294E-2</v>
      </c>
    </row>
    <row r="10" spans="1:4" x14ac:dyDescent="0.25">
      <c r="A10" t="s">
        <v>7</v>
      </c>
      <c r="B10" s="1">
        <v>2.2918274827973169</v>
      </c>
      <c r="C10" s="2">
        <v>0.96616144052063291</v>
      </c>
      <c r="D10" s="2">
        <v>3.3838559479366981E-2</v>
      </c>
    </row>
    <row r="11" spans="1:4" x14ac:dyDescent="0.25">
      <c r="A11" t="s">
        <v>9</v>
      </c>
      <c r="B11" s="1">
        <v>1.5560839358415546</v>
      </c>
      <c r="C11" s="2">
        <v>0.95661845168618964</v>
      </c>
      <c r="D11" s="2">
        <v>4.3381548313810407E-2</v>
      </c>
    </row>
    <row r="12" spans="1:4" x14ac:dyDescent="0.25">
      <c r="A12" t="s">
        <v>10</v>
      </c>
      <c r="B12" s="1">
        <v>3.0717572926242775</v>
      </c>
      <c r="C12" s="2">
        <v>0.51231467310969048</v>
      </c>
      <c r="D12" s="2">
        <v>0.48768532689030952</v>
      </c>
    </row>
    <row r="13" spans="1:4" x14ac:dyDescent="0.25">
      <c r="A13" t="s">
        <v>13</v>
      </c>
      <c r="B13" s="1">
        <v>1.2694124670459344</v>
      </c>
      <c r="C13" s="2">
        <v>0.89153600326598592</v>
      </c>
      <c r="D13" s="2">
        <v>0.10846399673401398</v>
      </c>
    </row>
    <row r="14" spans="1:4" x14ac:dyDescent="0.25">
      <c r="A14" t="s">
        <v>14</v>
      </c>
      <c r="B14" s="1">
        <v>2.2924849716541322</v>
      </c>
      <c r="C14" s="2">
        <v>0.95090083110815704</v>
      </c>
      <c r="D14" s="2">
        <v>4.9099168891843001E-2</v>
      </c>
    </row>
    <row r="15" spans="1:4" x14ac:dyDescent="0.25">
      <c r="A15" t="s">
        <v>15</v>
      </c>
      <c r="B15" s="1">
        <v>2.6192211031648087</v>
      </c>
      <c r="C15" s="2">
        <v>0.57309230041640269</v>
      </c>
      <c r="D15" s="2">
        <v>0.42690769958359737</v>
      </c>
    </row>
    <row r="16" spans="1:4" x14ac:dyDescent="0.25">
      <c r="A16" t="s">
        <v>16</v>
      </c>
      <c r="B16" s="1">
        <v>2.0012346562582675</v>
      </c>
      <c r="C16" s="2">
        <v>0.83832463583985539</v>
      </c>
      <c r="D16" s="2">
        <v>0.16167536416014458</v>
      </c>
    </row>
    <row r="17" spans="1:4" x14ac:dyDescent="0.25">
      <c r="A17" t="s">
        <v>17</v>
      </c>
      <c r="B17" s="1">
        <v>4.4899209535529172</v>
      </c>
      <c r="C17" s="2">
        <v>0.96290717307021689</v>
      </c>
      <c r="D17" s="2">
        <v>3.7092826929783156E-2</v>
      </c>
    </row>
    <row r="18" spans="1:4" x14ac:dyDescent="0.25">
      <c r="A18" t="s">
        <v>18</v>
      </c>
      <c r="B18" s="1">
        <v>1.2283426924167986</v>
      </c>
      <c r="C18" s="2">
        <v>0.872359660455723</v>
      </c>
      <c r="D18" s="2">
        <v>0.12764033954427709</v>
      </c>
    </row>
    <row r="19" spans="1:4" x14ac:dyDescent="0.25">
      <c r="A19" t="s">
        <v>19</v>
      </c>
      <c r="B19" s="1">
        <v>2.4924263652308345</v>
      </c>
      <c r="C19" s="2">
        <v>0.97923304621976626</v>
      </c>
      <c r="D19" s="2">
        <v>2.0766953780233719E-2</v>
      </c>
    </row>
    <row r="20" spans="1:4" x14ac:dyDescent="0.25">
      <c r="A20" t="s">
        <v>20</v>
      </c>
      <c r="B20" s="1">
        <v>5.4994796189931936</v>
      </c>
      <c r="C20" s="2">
        <v>0.95945205571400505</v>
      </c>
      <c r="D20" s="2">
        <v>4.0547944285994938E-2</v>
      </c>
    </row>
    <row r="21" spans="1:4" x14ac:dyDescent="0.25">
      <c r="A21" t="s">
        <v>21</v>
      </c>
      <c r="B21" s="1">
        <v>1.3906047347253441</v>
      </c>
      <c r="C21" s="2">
        <v>0.54294607892985425</v>
      </c>
      <c r="D21" s="2">
        <v>0.45705392107014581</v>
      </c>
    </row>
    <row r="22" spans="1:4" x14ac:dyDescent="0.25">
      <c r="A22" t="s">
        <v>22</v>
      </c>
      <c r="B22" s="1">
        <v>4.1079370871755154</v>
      </c>
      <c r="C22" s="2">
        <v>0.97494791197390895</v>
      </c>
      <c r="D22" s="2">
        <v>2.5052088026091129E-2</v>
      </c>
    </row>
    <row r="23" spans="1:4" x14ac:dyDescent="0.25">
      <c r="A23" t="s">
        <v>23</v>
      </c>
      <c r="B23" s="1">
        <v>6.2324048702206358</v>
      </c>
      <c r="C23" s="2">
        <v>0.97768458732678332</v>
      </c>
      <c r="D23" s="2">
        <v>2.2315412673216729E-2</v>
      </c>
    </row>
    <row r="24" spans="1:4" x14ac:dyDescent="0.25">
      <c r="A24" t="s">
        <v>24</v>
      </c>
      <c r="B24" s="1">
        <v>1.5235104116778726</v>
      </c>
      <c r="C24" s="2">
        <v>0.54753588113265395</v>
      </c>
      <c r="D24" s="2">
        <v>0.45246411886734611</v>
      </c>
    </row>
    <row r="25" spans="1:4" x14ac:dyDescent="0.25">
      <c r="A25" t="s">
        <v>25</v>
      </c>
      <c r="B25" s="1">
        <v>5.4191226240982866</v>
      </c>
      <c r="C25" s="2">
        <v>0.97555264493152449</v>
      </c>
      <c r="D25" s="2">
        <v>2.4447355068475528E-2</v>
      </c>
    </row>
    <row r="26" spans="1:4" x14ac:dyDescent="0.25">
      <c r="A26" t="s">
        <v>26</v>
      </c>
      <c r="B26" s="1">
        <v>2.8222618125142924</v>
      </c>
      <c r="C26" s="2">
        <v>0.86023734112831296</v>
      </c>
      <c r="D26" s="2">
        <v>0.1397626588716871</v>
      </c>
    </row>
    <row r="27" spans="1:4" x14ac:dyDescent="0.25">
      <c r="A27" t="s">
        <v>27</v>
      </c>
      <c r="B27" s="1">
        <v>5.9522365300668456</v>
      </c>
      <c r="C27" s="2">
        <v>0.18075008119419245</v>
      </c>
      <c r="D27" s="2">
        <v>0.81924991880580755</v>
      </c>
    </row>
    <row r="28" spans="1:4" x14ac:dyDescent="0.25">
      <c r="A28" t="s">
        <v>31</v>
      </c>
      <c r="B28" s="1">
        <v>1.4990380934626375</v>
      </c>
      <c r="C28" s="2">
        <v>0.98211228074929713</v>
      </c>
      <c r="D28" s="2">
        <v>1.7887719250702875E-2</v>
      </c>
    </row>
    <row r="29" spans="1:4" x14ac:dyDescent="0.25">
      <c r="A29" t="s">
        <v>33</v>
      </c>
      <c r="B29" s="1">
        <v>2.5461095205006967</v>
      </c>
      <c r="C29" s="2">
        <v>0.41319545287633153</v>
      </c>
      <c r="D29" s="2">
        <v>0.58680454712366836</v>
      </c>
    </row>
    <row r="30" spans="1:4" x14ac:dyDescent="0.25">
      <c r="A30" t="s">
        <v>34</v>
      </c>
      <c r="B30" s="1">
        <v>1.3476950669882752</v>
      </c>
      <c r="C30" s="2">
        <v>0.82354680077605003</v>
      </c>
      <c r="D30" s="2">
        <v>0.17645319922395006</v>
      </c>
    </row>
    <row r="31" spans="1:4" x14ac:dyDescent="0.25">
      <c r="A31" t="s">
        <v>35</v>
      </c>
      <c r="B31" s="1">
        <v>1.1941781679121264</v>
      </c>
      <c r="C31" s="2">
        <v>0.75247871831597579</v>
      </c>
      <c r="D31" s="2">
        <v>0.24752128168402424</v>
      </c>
    </row>
    <row r="32" spans="1:4" x14ac:dyDescent="0.25">
      <c r="A32" t="s">
        <v>37</v>
      </c>
      <c r="B32" s="1">
        <v>1.7164586403946647</v>
      </c>
      <c r="C32" s="2">
        <v>0.65702717600419724</v>
      </c>
      <c r="D32" s="2">
        <v>0.34297282399580281</v>
      </c>
    </row>
    <row r="33" spans="1:4" x14ac:dyDescent="0.25">
      <c r="A33" t="s">
        <v>40</v>
      </c>
      <c r="B33" s="1">
        <v>1.8513659455069267</v>
      </c>
      <c r="C33" s="2">
        <v>0.94020214840384975</v>
      </c>
      <c r="D33" s="2">
        <v>5.9797851596150295E-2</v>
      </c>
    </row>
    <row r="34" spans="1:4" x14ac:dyDescent="0.25">
      <c r="A34" t="s">
        <v>41</v>
      </c>
      <c r="B34" s="1">
        <v>3.0960280135703457</v>
      </c>
      <c r="C34" s="2">
        <v>0.90386857407327914</v>
      </c>
      <c r="D34" s="2">
        <v>9.6131425926720818E-2</v>
      </c>
    </row>
    <row r="35" spans="1:4" x14ac:dyDescent="0.25">
      <c r="A35" t="s">
        <v>42</v>
      </c>
      <c r="B35" s="1">
        <v>3.0208087425865595</v>
      </c>
      <c r="C35" s="2">
        <v>0.85027972538024976</v>
      </c>
      <c r="D35" s="2">
        <v>0.14972027461975015</v>
      </c>
    </row>
    <row r="36" spans="1:4" x14ac:dyDescent="0.25">
      <c r="A36" t="s">
        <v>43</v>
      </c>
      <c r="B36" s="1">
        <v>3.6744848768605087</v>
      </c>
      <c r="C36" s="2">
        <v>0.68121200304281615</v>
      </c>
      <c r="D36" s="2">
        <v>0.31878799695718379</v>
      </c>
    </row>
    <row r="37" spans="1:4" x14ac:dyDescent="0.25">
      <c r="A37" t="s">
        <v>44</v>
      </c>
      <c r="B37" s="1">
        <v>5.3945493329801817</v>
      </c>
      <c r="C37" s="2">
        <v>0.93206215708841933</v>
      </c>
      <c r="D37" s="2">
        <v>6.7937842911580532E-2</v>
      </c>
    </row>
    <row r="38" spans="1:4" x14ac:dyDescent="0.25">
      <c r="A38" t="s">
        <v>45</v>
      </c>
      <c r="B38" s="1">
        <v>1.9089549865825124</v>
      </c>
      <c r="C38" s="2">
        <v>0.94772562639685365</v>
      </c>
      <c r="D38" s="2">
        <v>5.227437360314633E-2</v>
      </c>
    </row>
    <row r="39" spans="1:4" x14ac:dyDescent="0.25">
      <c r="A39" t="s">
        <v>46</v>
      </c>
      <c r="B39" s="1">
        <v>1.4138662205874564</v>
      </c>
      <c r="C39" s="2">
        <v>0.91210875513177803</v>
      </c>
      <c r="D39" s="2">
        <v>8.7891244868222015E-2</v>
      </c>
    </row>
    <row r="40" spans="1:4" x14ac:dyDescent="0.25">
      <c r="A40" t="s">
        <v>47</v>
      </c>
      <c r="B40" s="1">
        <v>1.4095247855028754</v>
      </c>
      <c r="C40" s="2">
        <v>0.98390313508661598</v>
      </c>
      <c r="D40" s="2">
        <v>1.609686491338402E-2</v>
      </c>
    </row>
    <row r="41" spans="1:4" x14ac:dyDescent="0.25">
      <c r="A41" t="s">
        <v>48</v>
      </c>
      <c r="B41" s="1">
        <v>1.6298204897759654</v>
      </c>
      <c r="C41" s="2">
        <v>0.69100431936987516</v>
      </c>
      <c r="D41" s="2">
        <v>0.30899568063012478</v>
      </c>
    </row>
    <row r="42" spans="1:4" x14ac:dyDescent="0.25">
      <c r="A42" t="s">
        <v>49</v>
      </c>
      <c r="B42" s="1">
        <v>5.1807201579856619</v>
      </c>
      <c r="C42" s="2">
        <v>0.99224691207151228</v>
      </c>
      <c r="D42" s="2">
        <v>7.7530879284877915E-3</v>
      </c>
    </row>
    <row r="43" spans="1:4" x14ac:dyDescent="0.25">
      <c r="A43" t="s">
        <v>55</v>
      </c>
      <c r="B43" s="1">
        <v>1</v>
      </c>
      <c r="C43" s="2">
        <v>0.74499719584269242</v>
      </c>
      <c r="D43" s="2">
        <v>0.25500280415730764</v>
      </c>
    </row>
    <row r="44" spans="1:4" x14ac:dyDescent="0.25">
      <c r="A44" t="s">
        <v>56</v>
      </c>
      <c r="B44" s="1">
        <v>0</v>
      </c>
      <c r="C44" s="2"/>
      <c r="D44" s="2"/>
    </row>
  </sheetData>
  <mergeCells count="1">
    <mergeCell ref="C1:D1"/>
  </mergeCells>
  <conditionalFormatting sqref="B3:B44">
    <cfRule type="colorScale" priority="50">
      <colorScale>
        <cfvo type="min"/>
        <cfvo type="max"/>
        <color theme="0"/>
        <color theme="1" tint="0.499984740745262"/>
      </colorScale>
    </cfRule>
  </conditionalFormatting>
  <conditionalFormatting sqref="D3:D43">
    <cfRule type="colorScale" priority="2">
      <colorScale>
        <cfvo type="min"/>
        <cfvo type="max"/>
        <color theme="0"/>
        <color theme="5"/>
      </colorScale>
    </cfRule>
  </conditionalFormatting>
  <conditionalFormatting sqref="C3:C43">
    <cfRule type="colorScale" priority="1">
      <colorScale>
        <cfvo type="min"/>
        <cfvo type="max"/>
        <color theme="0"/>
        <color theme="4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variants</vt:lpstr>
      <vt:lpstr>Best 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2023-09-11T13:17:57Z</dcterms:created>
  <dcterms:modified xsi:type="dcterms:W3CDTF">2024-08-30T15:50:57Z</dcterms:modified>
</cp:coreProperties>
</file>