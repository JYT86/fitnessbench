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8_{3087FE17-5A8F-4CC4-A5D2-E117B2737333}" xr6:coauthVersionLast="47" xr6:coauthVersionMax="47" xr10:uidLastSave="{00000000-0000-0000-0000-000000000000}"/>
  <bookViews>
    <workbookView xWindow="-120" yWindow="-120" windowWidth="38640" windowHeight="21240" xr2:uid="{BEFC7518-A802-4A1D-9C7D-A1B753788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I48" i="1" s="1"/>
  <c r="E49" i="1"/>
  <c r="I49" i="1" s="1"/>
  <c r="E50" i="1"/>
  <c r="I50" i="1" s="1"/>
  <c r="E51" i="1"/>
  <c r="I51" i="1" s="1"/>
  <c r="E52" i="1"/>
  <c r="I52" i="1" s="1"/>
  <c r="E53" i="1"/>
  <c r="I53" i="1" s="1"/>
  <c r="E3" i="1"/>
  <c r="J3" i="1" s="1"/>
  <c r="F53" i="1" l="1"/>
  <c r="F51" i="1"/>
  <c r="F49" i="1"/>
  <c r="F47" i="1"/>
  <c r="F45" i="1"/>
  <c r="F43" i="1"/>
  <c r="F41" i="1"/>
  <c r="F39" i="1"/>
  <c r="F37" i="1"/>
  <c r="F35" i="1"/>
  <c r="F33" i="1"/>
  <c r="F31" i="1"/>
  <c r="F29" i="1"/>
  <c r="F27" i="1"/>
  <c r="F25" i="1"/>
  <c r="F23" i="1"/>
  <c r="F21" i="1"/>
  <c r="F19" i="1"/>
  <c r="F17" i="1"/>
  <c r="F15" i="1"/>
  <c r="F13" i="1"/>
  <c r="F11" i="1"/>
  <c r="F9" i="1"/>
  <c r="F7" i="1"/>
  <c r="F5" i="1"/>
  <c r="I3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F3" i="1"/>
  <c r="F52" i="1"/>
  <c r="F50" i="1"/>
  <c r="F48" i="1"/>
  <c r="F46" i="1"/>
  <c r="F44" i="1"/>
  <c r="F42" i="1"/>
  <c r="F40" i="1"/>
  <c r="F38" i="1"/>
  <c r="F36" i="1"/>
  <c r="F34" i="1"/>
  <c r="F32" i="1"/>
  <c r="F30" i="1"/>
  <c r="F28" i="1"/>
  <c r="F26" i="1"/>
  <c r="F24" i="1"/>
  <c r="F22" i="1"/>
  <c r="F20" i="1"/>
  <c r="F18" i="1"/>
  <c r="F16" i="1"/>
  <c r="F14" i="1"/>
  <c r="F12" i="1"/>
  <c r="F10" i="1"/>
  <c r="F8" i="1"/>
  <c r="F6" i="1"/>
  <c r="F4" i="1"/>
</calcChain>
</file>

<file path=xl/sharedStrings.xml><?xml version="1.0" encoding="utf-8"?>
<sst xmlns="http://schemas.openxmlformats.org/spreadsheetml/2006/main" count="59" uniqueCount="59">
  <si>
    <t>wt</t>
  </si>
  <si>
    <t>compared to wt</t>
  </si>
  <si>
    <t>Regioselectivity</t>
  </si>
  <si>
    <t>2-OH-d-D</t>
  </si>
  <si>
    <t>unkown</t>
  </si>
  <si>
    <t>total activity</t>
  </si>
  <si>
    <t>Integrated Area divided by internal standard minus background reaction</t>
  </si>
  <si>
    <t>Total sum of product</t>
  </si>
  <si>
    <t>Total sum of product divided by wild type activity</t>
  </si>
  <si>
    <t>Design 1</t>
  </si>
  <si>
    <t>Design 2</t>
  </si>
  <si>
    <t>Design 3</t>
  </si>
  <si>
    <t>Design 4</t>
  </si>
  <si>
    <t>Design 5</t>
  </si>
  <si>
    <t>Design 6</t>
  </si>
  <si>
    <t>Design 7</t>
  </si>
  <si>
    <t>Design 8</t>
  </si>
  <si>
    <t>Design 9</t>
  </si>
  <si>
    <t>Design 10</t>
  </si>
  <si>
    <t>Design 11</t>
  </si>
  <si>
    <t>Design 12</t>
  </si>
  <si>
    <t>Design 13</t>
  </si>
  <si>
    <t>Design 14</t>
  </si>
  <si>
    <t>Design 15</t>
  </si>
  <si>
    <t>Design 16</t>
  </si>
  <si>
    <t>Design 17</t>
  </si>
  <si>
    <t>Design 18</t>
  </si>
  <si>
    <t>Design 19</t>
  </si>
  <si>
    <t>Design 20</t>
  </si>
  <si>
    <t>Design 21</t>
  </si>
  <si>
    <t>Design 22</t>
  </si>
  <si>
    <t>Design 23</t>
  </si>
  <si>
    <t>Design 24</t>
  </si>
  <si>
    <t>Design 25</t>
  </si>
  <si>
    <t>Design 26</t>
  </si>
  <si>
    <t>Design 27</t>
  </si>
  <si>
    <t>Design 28</t>
  </si>
  <si>
    <t>Design 29</t>
  </si>
  <si>
    <t>Design 30</t>
  </si>
  <si>
    <t>Design 31</t>
  </si>
  <si>
    <t>Design 32</t>
  </si>
  <si>
    <t>Design 33</t>
  </si>
  <si>
    <t>Design 34</t>
  </si>
  <si>
    <t>Design 35</t>
  </si>
  <si>
    <t>Design 36</t>
  </si>
  <si>
    <t>Design 37</t>
  </si>
  <si>
    <t>Design 38</t>
  </si>
  <si>
    <t>Design 39</t>
  </si>
  <si>
    <t>Design 40</t>
  </si>
  <si>
    <t>Design 41</t>
  </si>
  <si>
    <t>Design 42</t>
  </si>
  <si>
    <t>Design 43</t>
  </si>
  <si>
    <t>Design 44</t>
  </si>
  <si>
    <t>Design 45</t>
  </si>
  <si>
    <t>Design 46</t>
  </si>
  <si>
    <t>Design 47</t>
  </si>
  <si>
    <t>Design 48</t>
  </si>
  <si>
    <t>Design 49</t>
  </si>
  <si>
    <t>Design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</si>
</sst>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9" fontId="0" fillId="0" borderId="0" xfId="1" applyFont="1"/>
    <xf numFmtId="9" fontId="0" fillId="2" borderId="0" xfId="1" applyFont="1" applyFill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345D-2CD5-4F55-AA9F-DA27A071E4EC}">
  <dimension ref="A1:J53"/>
  <sheetViews>
    <sheetView tabSelected="1" workbookViewId="0">
      <selection activeCell="N11" sqref="N11"/>
    </sheetView>
  </sheetViews>
  <sheetFormatPr defaultRowHeight="15" x14ac:dyDescent="0.25"/>
  <cols>
    <col min="2" max="2" width="15.5703125" customWidth="1"/>
    <col min="3" max="3" width="14" customWidth="1"/>
    <col min="5" max="5" width="16.85546875" customWidth="1"/>
    <col min="6" max="6" width="19.7109375" customWidth="1"/>
  </cols>
  <sheetData>
    <row r="1" spans="1:10" ht="52.5" customHeight="1" x14ac:dyDescent="0.25">
      <c r="B1" s="4" t="s">
        <v>6</v>
      </c>
      <c r="C1" s="4"/>
      <c r="E1" s="5" t="s">
        <v>7</v>
      </c>
      <c r="F1" s="5" t="s">
        <v>8</v>
      </c>
      <c r="I1" s="6" t="s">
        <v>2</v>
      </c>
      <c r="J1" s="6"/>
    </row>
    <row r="2" spans="1:10" x14ac:dyDescent="0.25">
      <c r="B2" t="s">
        <v>4</v>
      </c>
      <c r="C2" t="s">
        <v>3</v>
      </c>
      <c r="E2" t="s">
        <v>5</v>
      </c>
      <c r="F2" t="s">
        <v>1</v>
      </c>
    </row>
    <row r="3" spans="1:10" x14ac:dyDescent="0.25">
      <c r="A3" t="s">
        <v>9</v>
      </c>
      <c r="B3">
        <v>2.0325494887815983E-3</v>
      </c>
      <c r="C3">
        <v>0</v>
      </c>
      <c r="E3">
        <f>SUM(B3:C3)</f>
        <v>2.0325494887815983E-3</v>
      </c>
      <c r="F3" s="1">
        <f>E3/$E$53</f>
        <v>5.7871004717122324E-2</v>
      </c>
      <c r="I3" s="2">
        <f>B3/$E3</f>
        <v>1</v>
      </c>
      <c r="J3" s="2">
        <f>C3/$E3</f>
        <v>0</v>
      </c>
    </row>
    <row r="4" spans="1:10" x14ac:dyDescent="0.25">
      <c r="A4" t="s">
        <v>10</v>
      </c>
      <c r="B4">
        <v>3.4009717521563641E-4</v>
      </c>
      <c r="C4">
        <v>2.9874908489970937E-3</v>
      </c>
      <c r="E4">
        <f t="shared" ref="E4:E53" si="0">SUM(B4:C4)</f>
        <v>3.3275880242127302E-3</v>
      </c>
      <c r="F4" s="1">
        <f t="shared" ref="F4:F53" si="1">E4/$E$53</f>
        <v>9.4743504799624984E-2</v>
      </c>
      <c r="I4" s="2">
        <f t="shared" ref="I4:I53" si="2">B4/$E4</f>
        <v>0.10220531289960379</v>
      </c>
      <c r="J4" s="2">
        <f t="shared" ref="J4:J53" si="3">C4/$E4</f>
        <v>0.89779468710039623</v>
      </c>
    </row>
    <row r="5" spans="1:10" x14ac:dyDescent="0.25">
      <c r="A5" t="s">
        <v>11</v>
      </c>
      <c r="B5">
        <v>2.1370202581267109E-4</v>
      </c>
      <c r="C5">
        <v>1.772935489601845E-3</v>
      </c>
      <c r="E5">
        <f t="shared" si="0"/>
        <v>1.9866375154145161E-3</v>
      </c>
      <c r="F5" s="1">
        <f t="shared" si="1"/>
        <v>5.6563793236189812E-2</v>
      </c>
      <c r="I5" s="2">
        <f t="shared" si="2"/>
        <v>0.10756971221701797</v>
      </c>
      <c r="J5" s="2">
        <f t="shared" si="3"/>
        <v>0.89243028778298206</v>
      </c>
    </row>
    <row r="6" spans="1:10" x14ac:dyDescent="0.25">
      <c r="A6" t="s">
        <v>12</v>
      </c>
      <c r="B6">
        <v>2.1559702898420012E-4</v>
      </c>
      <c r="C6">
        <v>0</v>
      </c>
      <c r="E6">
        <f t="shared" si="0"/>
        <v>2.1559702898420012E-4</v>
      </c>
      <c r="F6" s="1">
        <f t="shared" si="1"/>
        <v>6.138505728990328E-3</v>
      </c>
      <c r="I6" s="2">
        <f t="shared" si="2"/>
        <v>1</v>
      </c>
      <c r="J6" s="2">
        <f t="shared" si="3"/>
        <v>0</v>
      </c>
    </row>
    <row r="7" spans="1:10" x14ac:dyDescent="0.25">
      <c r="A7" t="s">
        <v>13</v>
      </c>
      <c r="B7">
        <v>7.3180514945814581E-3</v>
      </c>
      <c r="C7">
        <v>5.6175908727265009E-3</v>
      </c>
      <c r="E7">
        <f t="shared" si="0"/>
        <v>1.2935642367307959E-2</v>
      </c>
      <c r="F7" s="1">
        <f t="shared" si="1"/>
        <v>0.36830523664456016</v>
      </c>
      <c r="I7" s="2">
        <f t="shared" si="2"/>
        <v>0.56572772242654545</v>
      </c>
      <c r="J7" s="2">
        <f t="shared" si="3"/>
        <v>0.43427227757345455</v>
      </c>
    </row>
    <row r="8" spans="1:10" x14ac:dyDescent="0.25">
      <c r="A8" t="s">
        <v>14</v>
      </c>
      <c r="B8">
        <v>0</v>
      </c>
      <c r="C8">
        <v>3.5341410475471929E-3</v>
      </c>
      <c r="E8">
        <f t="shared" si="0"/>
        <v>3.5341410475471929E-3</v>
      </c>
      <c r="F8" s="1">
        <f t="shared" si="1"/>
        <v>0.10062450846211883</v>
      </c>
      <c r="I8" s="2">
        <f t="shared" si="2"/>
        <v>0</v>
      </c>
      <c r="J8" s="2">
        <f t="shared" si="3"/>
        <v>1</v>
      </c>
    </row>
    <row r="9" spans="1:10" x14ac:dyDescent="0.25">
      <c r="A9" t="s">
        <v>15</v>
      </c>
      <c r="B9">
        <v>0</v>
      </c>
      <c r="C9">
        <v>0</v>
      </c>
      <c r="E9">
        <f t="shared" si="0"/>
        <v>0</v>
      </c>
      <c r="F9" s="1">
        <f t="shared" si="1"/>
        <v>0</v>
      </c>
      <c r="I9" s="2" t="e">
        <f t="shared" si="2"/>
        <v>#DIV/0!</v>
      </c>
      <c r="J9" s="2" t="e">
        <f t="shared" si="3"/>
        <v>#DIV/0!</v>
      </c>
    </row>
    <row r="10" spans="1:10" x14ac:dyDescent="0.25">
      <c r="A10" t="s">
        <v>16</v>
      </c>
      <c r="B10">
        <v>0</v>
      </c>
      <c r="C10">
        <v>0</v>
      </c>
      <c r="E10">
        <f t="shared" si="0"/>
        <v>0</v>
      </c>
      <c r="F10" s="1">
        <f t="shared" si="1"/>
        <v>0</v>
      </c>
      <c r="I10" s="2" t="e">
        <f t="shared" si="2"/>
        <v>#DIV/0!</v>
      </c>
      <c r="J10" s="2" t="e">
        <f t="shared" si="3"/>
        <v>#DIV/0!</v>
      </c>
    </row>
    <row r="11" spans="1:10" x14ac:dyDescent="0.25">
      <c r="A11" t="s">
        <v>17</v>
      </c>
      <c r="B11">
        <v>1.2229589092209291E-3</v>
      </c>
      <c r="C11">
        <v>0</v>
      </c>
      <c r="E11">
        <f t="shared" si="0"/>
        <v>1.2229589092209291E-3</v>
      </c>
      <c r="F11" s="1">
        <f t="shared" si="1"/>
        <v>3.482023989821581E-2</v>
      </c>
      <c r="I11" s="2">
        <f t="shared" si="2"/>
        <v>1</v>
      </c>
      <c r="J11" s="2">
        <f t="shared" si="3"/>
        <v>0</v>
      </c>
    </row>
    <row r="12" spans="1:10" x14ac:dyDescent="0.25">
      <c r="A12" t="s">
        <v>18</v>
      </c>
      <c r="B12">
        <v>1.2474905666570463E-3</v>
      </c>
      <c r="C12">
        <v>1.8531831291897574E-3</v>
      </c>
      <c r="E12">
        <f t="shared" si="0"/>
        <v>3.1006736958468038E-3</v>
      </c>
      <c r="F12" s="1">
        <f t="shared" si="1"/>
        <v>8.8282771499045454E-2</v>
      </c>
      <c r="I12" s="2">
        <f t="shared" si="2"/>
        <v>0.40232887721400584</v>
      </c>
      <c r="J12" s="2">
        <f t="shared" si="3"/>
        <v>0.59767112278599421</v>
      </c>
    </row>
    <row r="13" spans="1:10" x14ac:dyDescent="0.25">
      <c r="A13" t="s">
        <v>19</v>
      </c>
      <c r="B13">
        <v>2.8255711884595663E-3</v>
      </c>
      <c r="C13">
        <v>2.4989582588889891E-2</v>
      </c>
      <c r="E13">
        <f t="shared" si="0"/>
        <v>2.7815153777349458E-2</v>
      </c>
      <c r="F13" s="1">
        <f t="shared" si="1"/>
        <v>0.7919565571913304</v>
      </c>
      <c r="I13" s="2">
        <f t="shared" si="2"/>
        <v>0.10158387802121362</v>
      </c>
      <c r="J13" s="2">
        <f t="shared" si="3"/>
        <v>0.8984161219787864</v>
      </c>
    </row>
    <row r="14" spans="1:10" x14ac:dyDescent="0.25">
      <c r="A14" t="s">
        <v>20</v>
      </c>
      <c r="B14">
        <v>1.1630941522908257E-3</v>
      </c>
      <c r="C14">
        <v>0</v>
      </c>
      <c r="E14">
        <f t="shared" si="0"/>
        <v>1.1630941522908257E-3</v>
      </c>
      <c r="F14" s="1">
        <f t="shared" si="1"/>
        <v>3.3115763008569138E-2</v>
      </c>
      <c r="I14" s="2">
        <f t="shared" si="2"/>
        <v>1</v>
      </c>
      <c r="J14" s="2">
        <f t="shared" si="3"/>
        <v>0</v>
      </c>
    </row>
    <row r="15" spans="1:10" x14ac:dyDescent="0.25">
      <c r="A15" t="s">
        <v>21</v>
      </c>
      <c r="B15">
        <v>0</v>
      </c>
      <c r="C15">
        <v>0</v>
      </c>
      <c r="E15">
        <f t="shared" si="0"/>
        <v>0</v>
      </c>
      <c r="F15" s="1">
        <f t="shared" si="1"/>
        <v>0</v>
      </c>
      <c r="I15" s="2" t="e">
        <f t="shared" si="2"/>
        <v>#DIV/0!</v>
      </c>
      <c r="J15" s="2" t="e">
        <f t="shared" si="3"/>
        <v>#DIV/0!</v>
      </c>
    </row>
    <row r="16" spans="1:10" x14ac:dyDescent="0.25">
      <c r="A16" t="s">
        <v>22</v>
      </c>
      <c r="B16">
        <v>5.4971449515779994E-4</v>
      </c>
      <c r="C16">
        <v>0</v>
      </c>
      <c r="E16">
        <f t="shared" si="0"/>
        <v>5.4971449515779994E-4</v>
      </c>
      <c r="F16" s="1">
        <f t="shared" si="1"/>
        <v>1.5651540254214141E-2</v>
      </c>
      <c r="I16" s="2">
        <f t="shared" si="2"/>
        <v>1</v>
      </c>
      <c r="J16" s="2">
        <f t="shared" si="3"/>
        <v>0</v>
      </c>
    </row>
    <row r="17" spans="1:10" x14ac:dyDescent="0.25">
      <c r="A17" t="s">
        <v>23</v>
      </c>
      <c r="B17">
        <v>0</v>
      </c>
      <c r="C17">
        <v>2.6094586037023505E-3</v>
      </c>
      <c r="E17">
        <f t="shared" si="0"/>
        <v>2.6094586037023505E-3</v>
      </c>
      <c r="F17" s="1">
        <f t="shared" si="1"/>
        <v>7.4296833606013482E-2</v>
      </c>
      <c r="I17" s="2">
        <f t="shared" si="2"/>
        <v>0</v>
      </c>
      <c r="J17" s="2">
        <f t="shared" si="3"/>
        <v>1</v>
      </c>
    </row>
    <row r="18" spans="1:10" x14ac:dyDescent="0.25">
      <c r="A18" t="s">
        <v>24</v>
      </c>
      <c r="B18">
        <v>0</v>
      </c>
      <c r="C18">
        <v>1.5264569321554032E-2</v>
      </c>
      <c r="E18">
        <f t="shared" si="0"/>
        <v>1.5264569321554032E-2</v>
      </c>
      <c r="F18" s="1">
        <f t="shared" si="1"/>
        <v>0.43461473783943605</v>
      </c>
      <c r="I18" s="2">
        <f t="shared" si="2"/>
        <v>0</v>
      </c>
      <c r="J18" s="2">
        <f t="shared" si="3"/>
        <v>1</v>
      </c>
    </row>
    <row r="19" spans="1:10" x14ac:dyDescent="0.25">
      <c r="A19" t="s">
        <v>25</v>
      </c>
      <c r="B19">
        <v>2.3930101880677689E-3</v>
      </c>
      <c r="C19">
        <v>4.6417213309898203E-4</v>
      </c>
      <c r="E19">
        <f t="shared" si="0"/>
        <v>2.857182321166751E-3</v>
      </c>
      <c r="F19" s="1">
        <f t="shared" si="1"/>
        <v>8.1350054450598688E-2</v>
      </c>
      <c r="I19" s="2">
        <f t="shared" si="2"/>
        <v>0.83754199735163071</v>
      </c>
      <c r="J19" s="2">
        <f t="shared" si="3"/>
        <v>0.16245800264836932</v>
      </c>
    </row>
    <row r="20" spans="1:10" x14ac:dyDescent="0.25">
      <c r="A20" t="s">
        <v>26</v>
      </c>
      <c r="B20">
        <v>2.7896739772282596E-3</v>
      </c>
      <c r="C20">
        <v>0.16012572522994142</v>
      </c>
      <c r="E20">
        <f t="shared" si="0"/>
        <v>0.16291539920716969</v>
      </c>
      <c r="F20" s="1">
        <f t="shared" si="1"/>
        <v>4.6385477392049124</v>
      </c>
      <c r="I20" s="3">
        <f t="shared" si="2"/>
        <v>1.7123451747374719E-2</v>
      </c>
      <c r="J20" s="3">
        <f t="shared" si="3"/>
        <v>0.98287654825262527</v>
      </c>
    </row>
    <row r="21" spans="1:10" x14ac:dyDescent="0.25">
      <c r="A21" t="s">
        <v>27</v>
      </c>
      <c r="B21">
        <v>1.0857326925868098E-3</v>
      </c>
      <c r="C21">
        <v>1.3737926187904412E-3</v>
      </c>
      <c r="E21">
        <f t="shared" si="0"/>
        <v>2.459525311377251E-3</v>
      </c>
      <c r="F21" s="1">
        <f t="shared" si="1"/>
        <v>7.0027914046962167E-2</v>
      </c>
      <c r="I21" s="2">
        <f t="shared" si="2"/>
        <v>0.44143993459406045</v>
      </c>
      <c r="J21" s="2">
        <f t="shared" si="3"/>
        <v>0.55856006540593961</v>
      </c>
    </row>
    <row r="22" spans="1:10" x14ac:dyDescent="0.25">
      <c r="A22" t="s">
        <v>28</v>
      </c>
      <c r="B22">
        <v>0</v>
      </c>
      <c r="C22">
        <v>0</v>
      </c>
      <c r="E22">
        <f t="shared" si="0"/>
        <v>0</v>
      </c>
      <c r="F22" s="1">
        <f t="shared" si="1"/>
        <v>0</v>
      </c>
      <c r="I22" s="2" t="e">
        <f t="shared" si="2"/>
        <v>#DIV/0!</v>
      </c>
      <c r="J22" s="2" t="e">
        <f t="shared" si="3"/>
        <v>#DIV/0!</v>
      </c>
    </row>
    <row r="23" spans="1:10" x14ac:dyDescent="0.25">
      <c r="A23" t="s">
        <v>29</v>
      </c>
      <c r="B23">
        <v>9.3423550902772476E-4</v>
      </c>
      <c r="C23">
        <v>1.0525919892450324E-2</v>
      </c>
      <c r="E23">
        <f t="shared" si="0"/>
        <v>1.1460155401478048E-2</v>
      </c>
      <c r="F23" s="1">
        <f t="shared" si="1"/>
        <v>0.32629498615330121</v>
      </c>
      <c r="I23" s="2">
        <f t="shared" si="2"/>
        <v>8.1520317683234367E-2</v>
      </c>
      <c r="J23" s="2">
        <f t="shared" si="3"/>
        <v>0.91847968231676569</v>
      </c>
    </row>
    <row r="24" spans="1:10" x14ac:dyDescent="0.25">
      <c r="A24" t="s">
        <v>30</v>
      </c>
      <c r="B24">
        <v>1.4316521001024891E-3</v>
      </c>
      <c r="C24">
        <v>6.2910118986512636E-3</v>
      </c>
      <c r="E24">
        <f t="shared" si="0"/>
        <v>7.7226639987537527E-3</v>
      </c>
      <c r="F24" s="1">
        <f t="shared" si="1"/>
        <v>0.21988066079932556</v>
      </c>
      <c r="I24" s="2">
        <f t="shared" si="2"/>
        <v>0.1853831916464995</v>
      </c>
      <c r="J24" s="2">
        <f t="shared" si="3"/>
        <v>0.81461680835350048</v>
      </c>
    </row>
    <row r="25" spans="1:10" x14ac:dyDescent="0.25">
      <c r="A25" t="s">
        <v>31</v>
      </c>
      <c r="B25">
        <v>1.70829807154072E-3</v>
      </c>
      <c r="C25">
        <v>0</v>
      </c>
      <c r="E25">
        <f t="shared" si="0"/>
        <v>1.70829807154072E-3</v>
      </c>
      <c r="F25" s="1">
        <f t="shared" si="1"/>
        <v>4.863887757815219E-2</v>
      </c>
      <c r="I25" s="2">
        <f t="shared" si="2"/>
        <v>1</v>
      </c>
      <c r="J25" s="2">
        <f t="shared" si="3"/>
        <v>0</v>
      </c>
    </row>
    <row r="26" spans="1:10" x14ac:dyDescent="0.25">
      <c r="A26" t="s">
        <v>32</v>
      </c>
      <c r="B26">
        <v>5.3586515398494454E-4</v>
      </c>
      <c r="C26">
        <v>2.1371007976128432E-3</v>
      </c>
      <c r="E26">
        <f t="shared" si="0"/>
        <v>2.6729659515977878E-3</v>
      </c>
      <c r="F26" s="1">
        <f t="shared" si="1"/>
        <v>7.6105022803823308E-2</v>
      </c>
      <c r="I26" s="2">
        <f t="shared" si="2"/>
        <v>0.20047586227749239</v>
      </c>
      <c r="J26" s="2">
        <f t="shared" si="3"/>
        <v>0.79952413772250763</v>
      </c>
    </row>
    <row r="27" spans="1:10" x14ac:dyDescent="0.25">
      <c r="A27" t="s">
        <v>33</v>
      </c>
      <c r="B27">
        <v>3.9909023172414113E-4</v>
      </c>
      <c r="C27">
        <v>8.7702624167160341E-3</v>
      </c>
      <c r="E27">
        <f t="shared" si="0"/>
        <v>9.1693526484401752E-3</v>
      </c>
      <c r="F27" s="1">
        <f t="shared" si="1"/>
        <v>0.26107096201083341</v>
      </c>
      <c r="I27" s="2">
        <f t="shared" si="2"/>
        <v>4.3524362844963922E-2</v>
      </c>
      <c r="J27" s="2">
        <f t="shared" si="3"/>
        <v>0.95647563715503603</v>
      </c>
    </row>
    <row r="28" spans="1:10" x14ac:dyDescent="0.25">
      <c r="A28" t="s">
        <v>34</v>
      </c>
      <c r="B28">
        <v>1.4073294524069972E-2</v>
      </c>
      <c r="C28">
        <v>6.3005578169949811E-2</v>
      </c>
      <c r="E28">
        <f t="shared" si="0"/>
        <v>7.7078872694019779E-2</v>
      </c>
      <c r="F28" s="1">
        <f t="shared" si="1"/>
        <v>2.1945993590247062</v>
      </c>
      <c r="I28" s="3">
        <f t="shared" si="2"/>
        <v>0.18258303517147648</v>
      </c>
      <c r="J28" s="3">
        <f t="shared" si="3"/>
        <v>0.81741696482852355</v>
      </c>
    </row>
    <row r="29" spans="1:10" x14ac:dyDescent="0.25">
      <c r="A29" t="s">
        <v>35</v>
      </c>
      <c r="B29">
        <v>1.6121863795226787E-3</v>
      </c>
      <c r="C29">
        <v>0</v>
      </c>
      <c r="E29">
        <f t="shared" si="0"/>
        <v>1.6121863795226787E-3</v>
      </c>
      <c r="F29" s="1">
        <f t="shared" si="1"/>
        <v>4.590237339321309E-2</v>
      </c>
      <c r="I29" s="2">
        <f t="shared" si="2"/>
        <v>1</v>
      </c>
      <c r="J29" s="2">
        <f t="shared" si="3"/>
        <v>0</v>
      </c>
    </row>
    <row r="30" spans="1:10" x14ac:dyDescent="0.25">
      <c r="A30" t="s">
        <v>36</v>
      </c>
      <c r="B30">
        <v>3.3906806023490423E-3</v>
      </c>
      <c r="C30">
        <v>0</v>
      </c>
      <c r="E30">
        <f t="shared" si="0"/>
        <v>3.3906806023490423E-3</v>
      </c>
      <c r="F30" s="1">
        <f t="shared" si="1"/>
        <v>9.65398846206795E-2</v>
      </c>
      <c r="I30" s="2">
        <f t="shared" si="2"/>
        <v>1</v>
      </c>
      <c r="J30" s="2">
        <f t="shared" si="3"/>
        <v>0</v>
      </c>
    </row>
    <row r="31" spans="1:10" x14ac:dyDescent="0.25">
      <c r="A31" t="s">
        <v>37</v>
      </c>
      <c r="B31">
        <v>7.4000686144194347E-4</v>
      </c>
      <c r="C31">
        <v>7.2878039252918698E-3</v>
      </c>
      <c r="E31">
        <f t="shared" si="0"/>
        <v>8.0278107867338133E-3</v>
      </c>
      <c r="F31" s="1">
        <f t="shared" si="1"/>
        <v>0.22856883853082793</v>
      </c>
      <c r="I31" s="2">
        <f t="shared" si="2"/>
        <v>9.2180406477046756E-2</v>
      </c>
      <c r="J31" s="2">
        <f t="shared" si="3"/>
        <v>0.90781959352295327</v>
      </c>
    </row>
    <row r="32" spans="1:10" x14ac:dyDescent="0.25">
      <c r="A32" t="s">
        <v>38</v>
      </c>
      <c r="B32">
        <v>0</v>
      </c>
      <c r="C32">
        <v>0</v>
      </c>
      <c r="E32">
        <f t="shared" si="0"/>
        <v>0</v>
      </c>
      <c r="F32" s="1">
        <f t="shared" si="1"/>
        <v>0</v>
      </c>
      <c r="I32" s="2" t="e">
        <f t="shared" si="2"/>
        <v>#DIV/0!</v>
      </c>
      <c r="J32" s="2" t="e">
        <f t="shared" si="3"/>
        <v>#DIV/0!</v>
      </c>
    </row>
    <row r="33" spans="1:10" x14ac:dyDescent="0.25">
      <c r="A33" t="s">
        <v>39</v>
      </c>
      <c r="B33">
        <v>4.1901071647192263E-4</v>
      </c>
      <c r="C33">
        <v>1.5572908656531388E-3</v>
      </c>
      <c r="E33">
        <f t="shared" si="0"/>
        <v>1.9763015821250614E-3</v>
      </c>
      <c r="F33" s="1">
        <f t="shared" si="1"/>
        <v>5.6269507243424909E-2</v>
      </c>
      <c r="I33" s="2">
        <f t="shared" si="2"/>
        <v>0.21201759906571152</v>
      </c>
      <c r="J33" s="2">
        <f t="shared" si="3"/>
        <v>0.78798240093428851</v>
      </c>
    </row>
    <row r="34" spans="1:10" x14ac:dyDescent="0.25">
      <c r="A34" t="s">
        <v>40</v>
      </c>
      <c r="B34">
        <v>8.8394755384621493E-4</v>
      </c>
      <c r="C34">
        <v>1.6959385496984197E-3</v>
      </c>
      <c r="E34">
        <f t="shared" si="0"/>
        <v>2.5798861035446347E-3</v>
      </c>
      <c r="F34" s="1">
        <f t="shared" si="1"/>
        <v>7.3454841661625372E-2</v>
      </c>
      <c r="I34" s="2">
        <f t="shared" si="2"/>
        <v>0.34263045668245395</v>
      </c>
      <c r="J34" s="2">
        <f t="shared" si="3"/>
        <v>0.65736954331754605</v>
      </c>
    </row>
    <row r="35" spans="1:10" x14ac:dyDescent="0.25">
      <c r="A35" t="s">
        <v>41</v>
      </c>
      <c r="B35">
        <v>4.5401370422297298E-4</v>
      </c>
      <c r="C35">
        <v>0</v>
      </c>
      <c r="E35">
        <f t="shared" si="0"/>
        <v>4.5401370422297298E-4</v>
      </c>
      <c r="F35" s="1">
        <f t="shared" si="1"/>
        <v>1.2926735296603186E-2</v>
      </c>
      <c r="I35" s="2">
        <f t="shared" si="2"/>
        <v>1</v>
      </c>
      <c r="J35" s="2">
        <f t="shared" si="3"/>
        <v>0</v>
      </c>
    </row>
    <row r="36" spans="1:10" x14ac:dyDescent="0.25">
      <c r="A36" t="s">
        <v>42</v>
      </c>
      <c r="B36">
        <v>2.2659427050070544E-3</v>
      </c>
      <c r="C36">
        <v>1.5240883961723836E-2</v>
      </c>
      <c r="E36">
        <f t="shared" si="0"/>
        <v>1.7506826666730889E-2</v>
      </c>
      <c r="F36" s="1">
        <f t="shared" si="1"/>
        <v>0.49845657102280277</v>
      </c>
      <c r="I36" s="2">
        <f t="shared" si="2"/>
        <v>0.12943194949848566</v>
      </c>
      <c r="J36" s="2">
        <f t="shared" si="3"/>
        <v>0.87056805050151442</v>
      </c>
    </row>
    <row r="37" spans="1:10" x14ac:dyDescent="0.25">
      <c r="A37" t="s">
        <v>43</v>
      </c>
      <c r="B37">
        <v>1.5783267796471347E-3</v>
      </c>
      <c r="C37">
        <v>5.5962545644336996E-3</v>
      </c>
      <c r="E37">
        <f t="shared" si="0"/>
        <v>7.1745813440808343E-3</v>
      </c>
      <c r="F37" s="1">
        <f t="shared" si="1"/>
        <v>0.20427558251266467</v>
      </c>
      <c r="I37" s="2">
        <f t="shared" si="2"/>
        <v>0.21998869396738868</v>
      </c>
      <c r="J37" s="2">
        <f t="shared" si="3"/>
        <v>0.78001130603261137</v>
      </c>
    </row>
    <row r="38" spans="1:10" x14ac:dyDescent="0.25">
      <c r="A38" t="s">
        <v>44</v>
      </c>
      <c r="B38">
        <v>0</v>
      </c>
      <c r="C38">
        <v>5.2510091723932326E-4</v>
      </c>
      <c r="E38">
        <f t="shared" si="0"/>
        <v>5.2510091723932326E-4</v>
      </c>
      <c r="F38" s="1">
        <f t="shared" si="1"/>
        <v>1.495073936759992E-2</v>
      </c>
      <c r="I38" s="2">
        <f t="shared" si="2"/>
        <v>0</v>
      </c>
      <c r="J38" s="2">
        <f t="shared" si="3"/>
        <v>1</v>
      </c>
    </row>
    <row r="39" spans="1:10" x14ac:dyDescent="0.25">
      <c r="A39" t="s">
        <v>45</v>
      </c>
      <c r="B39">
        <v>3.2373640106397369E-3</v>
      </c>
      <c r="C39">
        <v>0</v>
      </c>
      <c r="E39">
        <f t="shared" si="0"/>
        <v>3.2373640106397369E-3</v>
      </c>
      <c r="F39" s="1">
        <f t="shared" si="1"/>
        <v>9.2174635335978944E-2</v>
      </c>
      <c r="I39" s="2">
        <f t="shared" si="2"/>
        <v>1</v>
      </c>
      <c r="J39" s="2">
        <f t="shared" si="3"/>
        <v>0</v>
      </c>
    </row>
    <row r="40" spans="1:10" x14ac:dyDescent="0.25">
      <c r="A40" t="s">
        <v>46</v>
      </c>
      <c r="B40">
        <v>6.4670096480561219E-4</v>
      </c>
      <c r="C40">
        <v>1.5441804766467268E-2</v>
      </c>
      <c r="E40">
        <f t="shared" si="0"/>
        <v>1.6088505731272879E-2</v>
      </c>
      <c r="F40" s="1">
        <f t="shared" si="1"/>
        <v>0.45807395893915498</v>
      </c>
      <c r="I40" s="2">
        <f t="shared" si="2"/>
        <v>4.0196459236643292E-2</v>
      </c>
      <c r="J40" s="2">
        <f t="shared" si="3"/>
        <v>0.95980354076335683</v>
      </c>
    </row>
    <row r="41" spans="1:10" x14ac:dyDescent="0.25">
      <c r="A41" t="s">
        <v>47</v>
      </c>
      <c r="B41">
        <v>0</v>
      </c>
      <c r="C41">
        <v>0</v>
      </c>
      <c r="E41">
        <f t="shared" si="0"/>
        <v>0</v>
      </c>
      <c r="F41" s="1">
        <f t="shared" si="1"/>
        <v>0</v>
      </c>
      <c r="I41" s="2" t="e">
        <f t="shared" si="2"/>
        <v>#DIV/0!</v>
      </c>
      <c r="J41" s="2" t="e">
        <f t="shared" si="3"/>
        <v>#DIV/0!</v>
      </c>
    </row>
    <row r="42" spans="1:10" x14ac:dyDescent="0.25">
      <c r="A42" t="s">
        <v>48</v>
      </c>
      <c r="B42">
        <v>1.9488375804590508E-3</v>
      </c>
      <c r="C42">
        <v>2.3437778334199286E-4</v>
      </c>
      <c r="E42">
        <f t="shared" si="0"/>
        <v>2.1832153638010436E-3</v>
      </c>
      <c r="F42" s="1">
        <f t="shared" si="1"/>
        <v>6.2160782462797957E-2</v>
      </c>
      <c r="I42" s="2">
        <f t="shared" si="2"/>
        <v>0.89264559638590391</v>
      </c>
      <c r="J42" s="2">
        <f t="shared" si="3"/>
        <v>0.10735440361409608</v>
      </c>
    </row>
    <row r="43" spans="1:10" x14ac:dyDescent="0.25">
      <c r="A43" t="s">
        <v>49</v>
      </c>
      <c r="B43">
        <v>5.0964110755109537E-3</v>
      </c>
      <c r="C43">
        <v>7.9692108635897596E-3</v>
      </c>
      <c r="E43">
        <f t="shared" si="0"/>
        <v>1.3065621939100713E-2</v>
      </c>
      <c r="F43" s="1">
        <f t="shared" si="1"/>
        <v>0.37200603136265437</v>
      </c>
      <c r="I43" s="2">
        <f t="shared" si="2"/>
        <v>0.3900626467890691</v>
      </c>
      <c r="J43" s="2">
        <f t="shared" si="3"/>
        <v>0.6099373532109309</v>
      </c>
    </row>
    <row r="44" spans="1:10" x14ac:dyDescent="0.25">
      <c r="A44" t="s">
        <v>50</v>
      </c>
      <c r="B44">
        <v>1.2111481499688381E-3</v>
      </c>
      <c r="C44">
        <v>5.7818848130260451E-3</v>
      </c>
      <c r="E44">
        <f t="shared" si="0"/>
        <v>6.9930329629948832E-3</v>
      </c>
      <c r="F44" s="1">
        <f t="shared" si="1"/>
        <v>0.19910651416958142</v>
      </c>
      <c r="I44" s="2">
        <f t="shared" si="2"/>
        <v>0.17319354225525396</v>
      </c>
      <c r="J44" s="2">
        <f t="shared" si="3"/>
        <v>0.82680645774474604</v>
      </c>
    </row>
    <row r="45" spans="1:10" x14ac:dyDescent="0.25">
      <c r="A45" t="s">
        <v>51</v>
      </c>
      <c r="B45">
        <v>3.6459660452435611E-3</v>
      </c>
      <c r="C45">
        <v>6.3412666142175292E-4</v>
      </c>
      <c r="E45">
        <f t="shared" si="0"/>
        <v>4.280092706665314E-3</v>
      </c>
      <c r="F45" s="1">
        <f t="shared" si="1"/>
        <v>0.12186333793310378</v>
      </c>
      <c r="I45" s="2">
        <f t="shared" si="2"/>
        <v>0.85184277423845556</v>
      </c>
      <c r="J45" s="2">
        <f t="shared" si="3"/>
        <v>0.14815722576154447</v>
      </c>
    </row>
    <row r="46" spans="1:10" x14ac:dyDescent="0.25">
      <c r="A46" t="s">
        <v>52</v>
      </c>
      <c r="B46">
        <v>0</v>
      </c>
      <c r="C46">
        <v>0</v>
      </c>
      <c r="E46">
        <f t="shared" si="0"/>
        <v>0</v>
      </c>
      <c r="F46" s="1">
        <f t="shared" si="1"/>
        <v>0</v>
      </c>
      <c r="I46" s="2" t="e">
        <f t="shared" si="2"/>
        <v>#DIV/0!</v>
      </c>
      <c r="J46" s="2" t="e">
        <f t="shared" si="3"/>
        <v>#DIV/0!</v>
      </c>
    </row>
    <row r="47" spans="1:10" x14ac:dyDescent="0.25">
      <c r="A47" t="s">
        <v>53</v>
      </c>
      <c r="B47">
        <v>2.845932720886396E-2</v>
      </c>
      <c r="C47">
        <v>2.3661251387913119E-2</v>
      </c>
      <c r="E47">
        <f t="shared" si="0"/>
        <v>5.212057859677708E-2</v>
      </c>
      <c r="F47" s="1">
        <f t="shared" si="1"/>
        <v>1.4839836700071296</v>
      </c>
      <c r="I47" s="3">
        <f t="shared" si="2"/>
        <v>0.54602861240346567</v>
      </c>
      <c r="J47" s="3">
        <f t="shared" si="3"/>
        <v>0.45397138759653433</v>
      </c>
    </row>
    <row r="48" spans="1:10" x14ac:dyDescent="0.25">
      <c r="A48" t="s">
        <v>54</v>
      </c>
      <c r="B48">
        <v>9.85925839251783E-4</v>
      </c>
      <c r="C48">
        <v>5.1124946091067429E-3</v>
      </c>
      <c r="E48">
        <f t="shared" si="0"/>
        <v>6.0984204483585259E-3</v>
      </c>
      <c r="F48" s="1">
        <f t="shared" si="1"/>
        <v>0.17363499412036884</v>
      </c>
      <c r="I48" s="2">
        <f t="shared" si="2"/>
        <v>0.16166904981390035</v>
      </c>
      <c r="J48" s="2">
        <f t="shared" si="3"/>
        <v>0.83833095018609971</v>
      </c>
    </row>
    <row r="49" spans="1:10" x14ac:dyDescent="0.25">
      <c r="A49" t="s">
        <v>55</v>
      </c>
      <c r="B49">
        <v>0</v>
      </c>
      <c r="C49">
        <v>0</v>
      </c>
      <c r="E49">
        <f t="shared" si="0"/>
        <v>0</v>
      </c>
      <c r="F49" s="1">
        <f t="shared" si="1"/>
        <v>0</v>
      </c>
      <c r="I49" s="2" t="e">
        <f t="shared" si="2"/>
        <v>#DIV/0!</v>
      </c>
      <c r="J49" s="2" t="e">
        <f t="shared" si="3"/>
        <v>#DIV/0!</v>
      </c>
    </row>
    <row r="50" spans="1:10" x14ac:dyDescent="0.25">
      <c r="A50" t="s">
        <v>56</v>
      </c>
      <c r="B50">
        <v>0</v>
      </c>
      <c r="C50">
        <v>0</v>
      </c>
      <c r="E50">
        <f t="shared" si="0"/>
        <v>0</v>
      </c>
      <c r="F50" s="1">
        <f t="shared" si="1"/>
        <v>0</v>
      </c>
      <c r="I50" s="2" t="e">
        <f t="shared" si="2"/>
        <v>#DIV/0!</v>
      </c>
      <c r="J50" s="2" t="e">
        <f t="shared" si="3"/>
        <v>#DIV/0!</v>
      </c>
    </row>
    <row r="51" spans="1:10" x14ac:dyDescent="0.25">
      <c r="A51" t="s">
        <v>57</v>
      </c>
      <c r="B51">
        <v>3.1292307748597148E-3</v>
      </c>
      <c r="C51">
        <v>0</v>
      </c>
      <c r="E51">
        <f t="shared" si="0"/>
        <v>3.1292307748597148E-3</v>
      </c>
      <c r="F51" s="1">
        <f t="shared" si="1"/>
        <v>8.909585224486978E-2</v>
      </c>
      <c r="I51" s="2">
        <f t="shared" si="2"/>
        <v>1</v>
      </c>
      <c r="J51" s="2">
        <f t="shared" si="3"/>
        <v>0</v>
      </c>
    </row>
    <row r="52" spans="1:10" x14ac:dyDescent="0.25">
      <c r="A52" t="s">
        <v>58</v>
      </c>
      <c r="B52">
        <v>0</v>
      </c>
      <c r="C52">
        <v>3.0845130196441334E-2</v>
      </c>
      <c r="E52">
        <f t="shared" si="0"/>
        <v>3.0845130196441334E-2</v>
      </c>
      <c r="F52" s="1">
        <f t="shared" si="1"/>
        <v>0.87822642693366415</v>
      </c>
      <c r="I52" s="2">
        <f t="shared" si="2"/>
        <v>0</v>
      </c>
      <c r="J52" s="2">
        <f t="shared" si="3"/>
        <v>1</v>
      </c>
    </row>
    <row r="53" spans="1:10" x14ac:dyDescent="0.25">
      <c r="A53" t="s">
        <v>0</v>
      </c>
      <c r="B53">
        <v>2.2258081943115817E-3</v>
      </c>
      <c r="C53">
        <v>3.2896261980845179E-2</v>
      </c>
      <c r="E53">
        <f t="shared" si="0"/>
        <v>3.5122070175156762E-2</v>
      </c>
      <c r="F53" s="1">
        <f t="shared" si="1"/>
        <v>1</v>
      </c>
      <c r="I53" s="3">
        <f t="shared" si="2"/>
        <v>6.3373490890807016E-2</v>
      </c>
      <c r="J53" s="3">
        <f t="shared" si="3"/>
        <v>0.93662650910919298</v>
      </c>
    </row>
  </sheetData>
  <mergeCells count="2">
    <mergeCell ref="B1:C1"/>
    <mergeCell ref="I1:J1"/>
  </mergeCells>
  <conditionalFormatting sqref="F2:F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2023-12-04T13:06:24Z</dcterms:created>
  <dcterms:modified xsi:type="dcterms:W3CDTF">2024-08-30T16:01:25Z</dcterms:modified>
</cp:coreProperties>
</file>