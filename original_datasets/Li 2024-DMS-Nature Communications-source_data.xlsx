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14024\Desktop\"/>
    </mc:Choice>
  </mc:AlternateContent>
  <xr:revisionPtr revIDLastSave="0" documentId="13_ncr:1_{4B51C04E-C78D-4269-8122-9DF18CACE2D2}" xr6:coauthVersionLast="47" xr6:coauthVersionMax="47" xr10:uidLastSave="{00000000-0000-0000-0000-000000000000}"/>
  <bookViews>
    <workbookView xWindow="-103" yWindow="-103" windowWidth="22149" windowHeight="13920" activeTab="5" xr2:uid="{00000000-000D-0000-FFFF-FFFF00000000}"/>
  </bookViews>
  <sheets>
    <sheet name="Fig. 2c" sheetId="1" r:id="rId1"/>
    <sheet name="Fig. 4b" sheetId="2" r:id="rId2"/>
    <sheet name="Fig. 5" sheetId="10" r:id="rId3"/>
    <sheet name="Supplementary Fig. 3c" sheetId="3" r:id="rId4"/>
    <sheet name="Supplementary Fig. 4 " sheetId="4" r:id="rId5"/>
    <sheet name="Supplementary Fig. 5" sheetId="5" r:id="rId6"/>
    <sheet name="Supplementary Fig. 7" sheetId="6" r:id="rId7"/>
    <sheet name="Supplementary Fig. 8" sheetId="7" r:id="rId8"/>
    <sheet name="Supplementary Fig. 10 " sheetId="8" r:id="rId9"/>
    <sheet name="Supplementary Fig. 27" sheetId="9" r:id="rId10"/>
  </sheets>
  <calcPr calcId="181029"/>
</workbook>
</file>

<file path=xl/calcChain.xml><?xml version="1.0" encoding="utf-8"?>
<calcChain xmlns="http://schemas.openxmlformats.org/spreadsheetml/2006/main">
  <c r="K6" i="1" l="1"/>
  <c r="G13" i="1"/>
  <c r="K14" i="1"/>
  <c r="F14" i="1"/>
  <c r="K13" i="1"/>
  <c r="F13" i="1"/>
  <c r="K12" i="1"/>
  <c r="F12" i="1"/>
  <c r="K11" i="1"/>
  <c r="F11" i="1"/>
  <c r="K10" i="1"/>
  <c r="F10" i="1"/>
  <c r="K9" i="1"/>
  <c r="K8" i="1"/>
  <c r="K7" i="1"/>
  <c r="G14" i="1" l="1"/>
  <c r="L6" i="1"/>
  <c r="L7" i="1"/>
</calcChain>
</file>

<file path=xl/sharedStrings.xml><?xml version="1.0" encoding="utf-8"?>
<sst xmlns="http://schemas.openxmlformats.org/spreadsheetml/2006/main" count="767" uniqueCount="202">
  <si>
    <t>WT</t>
  </si>
  <si>
    <t>M21A</t>
  </si>
  <si>
    <t>H23A</t>
  </si>
  <si>
    <t>F89A</t>
  </si>
  <si>
    <t>R92A</t>
  </si>
  <si>
    <t>L123A</t>
  </si>
  <si>
    <t>F142A</t>
  </si>
  <si>
    <t>T143A</t>
  </si>
  <si>
    <t>S144A</t>
  </si>
  <si>
    <t>M148A</t>
  </si>
  <si>
    <t>E152A</t>
  </si>
  <si>
    <t>P188A</t>
  </si>
  <si>
    <t>V190A</t>
  </si>
  <si>
    <t>F191A</t>
  </si>
  <si>
    <t>F198A</t>
  </si>
  <si>
    <t>L202A</t>
  </si>
  <si>
    <t>W364A</t>
  </si>
  <si>
    <t>F383A</t>
  </si>
  <si>
    <t>D385A</t>
  </si>
  <si>
    <t>Q386A</t>
  </si>
  <si>
    <t>2a</t>
    <phoneticPr fontId="4" type="noConversion"/>
  </si>
  <si>
    <t>3a</t>
    <phoneticPr fontId="4" type="noConversion"/>
  </si>
  <si>
    <t>W93A</t>
    <phoneticPr fontId="4" type="noConversion"/>
  </si>
  <si>
    <t>S122A</t>
    <phoneticPr fontId="4" type="noConversion"/>
  </si>
  <si>
    <t>Relative activity (fold)</t>
  </si>
  <si>
    <t>reaction 1</t>
    <phoneticPr fontId="4" type="noConversion"/>
  </si>
  <si>
    <t>reaction 2</t>
    <phoneticPr fontId="4" type="noConversion"/>
  </si>
  <si>
    <t>M148A/V190T/S121D</t>
  </si>
  <si>
    <t>M148A/V190T</t>
  </si>
  <si>
    <t>M148A/S121D</t>
  </si>
  <si>
    <t>V190T/S121D</t>
  </si>
  <si>
    <t>V190T</t>
  </si>
  <si>
    <t>S121D</t>
  </si>
  <si>
    <t>Relative activity (%)</t>
    <phoneticPr fontId="4" type="noConversion"/>
  </si>
  <si>
    <t>E152Q/V90D/S122P</t>
  </si>
  <si>
    <t>E152Q/V90D</t>
  </si>
  <si>
    <t>E152Q/S122P</t>
  </si>
  <si>
    <t>V90D/S122P</t>
  </si>
  <si>
    <t>E152Q</t>
  </si>
  <si>
    <t>V190D</t>
  </si>
  <si>
    <t>S122P</t>
  </si>
  <si>
    <t>reaction 1</t>
  </si>
  <si>
    <t>reaction 2</t>
  </si>
  <si>
    <t>reaction 3</t>
  </si>
  <si>
    <t>reaction 3</t>
    <phoneticPr fontId="4" type="noConversion"/>
  </si>
  <si>
    <t>Relative activity (%)</t>
  </si>
  <si>
    <t>MiCGT-WT: optimization of reaction pH</t>
    <phoneticPr fontId="4" type="noConversion"/>
  </si>
  <si>
    <t>MiCGT-WT: optimization of reaction temperature (°C)</t>
    <phoneticPr fontId="4" type="noConversion"/>
  </si>
  <si>
    <t>MiCGT-QDP: optimization of reaction temperature (°C)</t>
    <phoneticPr fontId="4" type="noConversion"/>
  </si>
  <si>
    <t>MiCGT-ATD: optimization of reaction temperature (°C)</t>
    <phoneticPr fontId="4" type="noConversion"/>
  </si>
  <si>
    <t>MiCGT-WT: thermostability test (°C)</t>
    <phoneticPr fontId="4" type="noConversion"/>
  </si>
  <si>
    <t>MiCGT-QDP: thermostability test (°C)</t>
    <phoneticPr fontId="4" type="noConversion"/>
  </si>
  <si>
    <t>MiCGT-ATD: thermostability test (°C)</t>
    <phoneticPr fontId="4" type="noConversion"/>
  </si>
  <si>
    <t>MiCGT-QDP: optimization of reaction pH</t>
    <phoneticPr fontId="4" type="noConversion"/>
  </si>
  <si>
    <t>MiCGT-ATD: optimization of reaction pH</t>
    <phoneticPr fontId="4" type="noConversion"/>
  </si>
  <si>
    <t>MiCGT-WT: optimization of cosolvent concentrations (DMSO(v/v))</t>
    <phoneticPr fontId="4" type="noConversion"/>
  </si>
  <si>
    <t>MiCGT-QDP: optimization of cosolvent concentrations (DMSO(v/v))</t>
    <phoneticPr fontId="4" type="noConversion"/>
  </si>
  <si>
    <t>MiCGT-ATD: optimization of cosolvent concentrations (DMSO(v/v))</t>
    <phoneticPr fontId="4" type="noConversion"/>
  </si>
  <si>
    <t>Peak Area</t>
    <phoneticPr fontId="4" type="noConversion"/>
  </si>
  <si>
    <t>group1</t>
    <phoneticPr fontId="4" type="noConversion"/>
  </si>
  <si>
    <r>
      <t>group2</t>
    </r>
    <r>
      <rPr>
        <sz val="11"/>
        <color theme="1"/>
        <rFont val="宋体"/>
        <family val="2"/>
        <scheme val="minor"/>
      </rPr>
      <t/>
    </r>
  </si>
  <si>
    <r>
      <t>group3</t>
    </r>
    <r>
      <rPr>
        <sz val="11"/>
        <color theme="1"/>
        <rFont val="宋体"/>
        <family val="2"/>
        <scheme val="minor"/>
      </rPr>
      <t/>
    </r>
  </si>
  <si>
    <r>
      <t xml:space="preserve">Concentration of </t>
    </r>
    <r>
      <rPr>
        <b/>
        <sz val="11"/>
        <color theme="1"/>
        <rFont val="Arial"/>
        <family val="2"/>
      </rPr>
      <t>2a</t>
    </r>
    <r>
      <rPr>
        <sz val="11"/>
        <color theme="1"/>
        <rFont val="Arial"/>
        <family val="2"/>
      </rPr>
      <t xml:space="preserve"> (mM)</t>
    </r>
    <phoneticPr fontId="4" type="noConversion"/>
  </si>
  <si>
    <r>
      <t xml:space="preserve">Concentration of </t>
    </r>
    <r>
      <rPr>
        <b/>
        <sz val="11"/>
        <color theme="1"/>
        <rFont val="Arial"/>
        <family val="2"/>
      </rPr>
      <t>3a</t>
    </r>
    <r>
      <rPr>
        <sz val="11"/>
        <color theme="1"/>
        <rFont val="Arial"/>
        <family val="2"/>
      </rPr>
      <t xml:space="preserve"> (mM)</t>
    </r>
    <phoneticPr fontId="4" type="noConversion"/>
  </si>
  <si>
    <t>reation1</t>
    <phoneticPr fontId="4" type="noConversion"/>
  </si>
  <si>
    <r>
      <t>reation2</t>
    </r>
    <r>
      <rPr>
        <sz val="11"/>
        <color theme="1"/>
        <rFont val="宋体"/>
        <family val="2"/>
        <scheme val="minor"/>
      </rPr>
      <t/>
    </r>
  </si>
  <si>
    <r>
      <t>reation3</t>
    </r>
    <r>
      <rPr>
        <sz val="11"/>
        <color theme="1"/>
        <rFont val="宋体"/>
        <family val="2"/>
        <scheme val="minor"/>
      </rPr>
      <t/>
    </r>
  </si>
  <si>
    <t>MiCGT-WT</t>
    <phoneticPr fontId="4" type="noConversion"/>
  </si>
  <si>
    <t>MiCGT-QDP</t>
    <phoneticPr fontId="4" type="noConversion"/>
  </si>
  <si>
    <t>V (μM/min)</t>
    <phoneticPr fontId="4" type="noConversion"/>
  </si>
  <si>
    <t>MiCGT-ATD</t>
    <phoneticPr fontId="4" type="noConversion"/>
  </si>
  <si>
    <t>MiCGT-E152Q</t>
    <phoneticPr fontId="4" type="noConversion"/>
  </si>
  <si>
    <t>MiCGT-E152Q/V190D</t>
    <phoneticPr fontId="4" type="noConversion"/>
  </si>
  <si>
    <t>MiCGT-M148A</t>
    <phoneticPr fontId="4" type="noConversion"/>
  </si>
  <si>
    <t>MiCGT-M148A/V190T</t>
    <phoneticPr fontId="4" type="noConversion"/>
  </si>
  <si>
    <t>FcCGT-T149Q/A189D</t>
    <phoneticPr fontId="4" type="noConversion"/>
  </si>
  <si>
    <t>FcCGT-V118D/M145A</t>
    <phoneticPr fontId="4" type="noConversion"/>
  </si>
  <si>
    <t>NnGT-S126P/C156Q/L197D</t>
    <phoneticPr fontId="4" type="noConversion"/>
  </si>
  <si>
    <t>GjGTa-F116S/F117P/A142M</t>
    <phoneticPr fontId="4" type="noConversion"/>
  </si>
  <si>
    <t>FcCGT-WT</t>
    <phoneticPr fontId="4" type="noConversion"/>
  </si>
  <si>
    <t>GjGTc-M118S/F119P/M148Q/R189D</t>
    <phoneticPr fontId="4" type="noConversion"/>
  </si>
  <si>
    <t>GjGTc-WT</t>
    <phoneticPr fontId="4" type="noConversion"/>
  </si>
  <si>
    <t>GjGTa-WT</t>
    <phoneticPr fontId="4" type="noConversion"/>
  </si>
  <si>
    <t>NnGT-WT</t>
    <phoneticPr fontId="4" type="noConversion"/>
  </si>
  <si>
    <t>FcCGT-V118S</t>
    <phoneticPr fontId="4" type="noConversion"/>
  </si>
  <si>
    <t>FcCGT-T149Q/A189DD</t>
    <phoneticPr fontId="4" type="noConversion"/>
  </si>
  <si>
    <t>Conversion Rate (%)</t>
    <phoneticPr fontId="4" type="noConversion"/>
  </si>
  <si>
    <t>ATD</t>
    <phoneticPr fontId="4" type="noConversion"/>
  </si>
  <si>
    <t>M148A/V90T</t>
    <phoneticPr fontId="4" type="noConversion"/>
  </si>
  <si>
    <t>M148A</t>
    <phoneticPr fontId="4" type="noConversion"/>
  </si>
  <si>
    <t>WT</t>
    <phoneticPr fontId="4" type="noConversion"/>
  </si>
  <si>
    <t>E152Q</t>
    <phoneticPr fontId="4" type="noConversion"/>
  </si>
  <si>
    <t>E152A</t>
    <phoneticPr fontId="4" type="noConversion"/>
  </si>
  <si>
    <t>E152Q/V190D</t>
    <phoneticPr fontId="4" type="noConversion"/>
  </si>
  <si>
    <t>QDP</t>
    <phoneticPr fontId="4" type="noConversion"/>
  </si>
  <si>
    <t>average</t>
    <phoneticPr fontId="4" type="noConversion"/>
  </si>
  <si>
    <t>fold</t>
  </si>
  <si>
    <t>reaction1</t>
    <phoneticPr fontId="4" type="noConversion"/>
  </si>
  <si>
    <t>reaction2</t>
  </si>
  <si>
    <t>reaction3</t>
  </si>
  <si>
    <t>1a</t>
    <phoneticPr fontId="4" type="noConversion"/>
  </si>
  <si>
    <t>Relative proportion (%)</t>
    <phoneticPr fontId="4" type="noConversion"/>
  </si>
  <si>
    <t>Reaction1</t>
    <phoneticPr fontId="4" type="noConversion"/>
  </si>
  <si>
    <t>Reaction2</t>
  </si>
  <si>
    <t>Reaction3</t>
  </si>
  <si>
    <t>1b</t>
    <phoneticPr fontId="4" type="noConversion"/>
  </si>
  <si>
    <t>2b</t>
    <phoneticPr fontId="4" type="noConversion"/>
  </si>
  <si>
    <t>3b</t>
    <phoneticPr fontId="4" type="noConversion"/>
  </si>
  <si>
    <t>1c</t>
    <phoneticPr fontId="4" type="noConversion"/>
  </si>
  <si>
    <t>2c</t>
    <phoneticPr fontId="4" type="noConversion"/>
  </si>
  <si>
    <t>3c</t>
    <phoneticPr fontId="4" type="noConversion"/>
  </si>
  <si>
    <t>1d</t>
    <phoneticPr fontId="4" type="noConversion"/>
  </si>
  <si>
    <t>2d</t>
    <phoneticPr fontId="4" type="noConversion"/>
  </si>
  <si>
    <t>3d</t>
    <phoneticPr fontId="4" type="noConversion"/>
  </si>
  <si>
    <t>1e</t>
    <phoneticPr fontId="4" type="noConversion"/>
  </si>
  <si>
    <t>2e</t>
    <phoneticPr fontId="4" type="noConversion"/>
  </si>
  <si>
    <t>3e</t>
    <phoneticPr fontId="4" type="noConversion"/>
  </si>
  <si>
    <t>1f</t>
    <phoneticPr fontId="4" type="noConversion"/>
  </si>
  <si>
    <t>2f</t>
    <phoneticPr fontId="4" type="noConversion"/>
  </si>
  <si>
    <t>3f</t>
    <phoneticPr fontId="4" type="noConversion"/>
  </si>
  <si>
    <t>1g</t>
    <phoneticPr fontId="4" type="noConversion"/>
  </si>
  <si>
    <t>2g</t>
    <phoneticPr fontId="4" type="noConversion"/>
  </si>
  <si>
    <t>3g</t>
    <phoneticPr fontId="4" type="noConversion"/>
  </si>
  <si>
    <t>1h</t>
    <phoneticPr fontId="4" type="noConversion"/>
  </si>
  <si>
    <t>2h</t>
    <phoneticPr fontId="4" type="noConversion"/>
  </si>
  <si>
    <t>3h</t>
    <phoneticPr fontId="4" type="noConversion"/>
  </si>
  <si>
    <t>1j</t>
    <phoneticPr fontId="4" type="noConversion"/>
  </si>
  <si>
    <t>2j</t>
    <phoneticPr fontId="4" type="noConversion"/>
  </si>
  <si>
    <t>3j</t>
    <phoneticPr fontId="4" type="noConversion"/>
  </si>
  <si>
    <t>1k</t>
    <phoneticPr fontId="4" type="noConversion"/>
  </si>
  <si>
    <t>1l</t>
    <phoneticPr fontId="4" type="noConversion"/>
  </si>
  <si>
    <t>2k</t>
    <phoneticPr fontId="4" type="noConversion"/>
  </si>
  <si>
    <t>3k</t>
    <phoneticPr fontId="4" type="noConversion"/>
  </si>
  <si>
    <t>2l</t>
    <phoneticPr fontId="4" type="noConversion"/>
  </si>
  <si>
    <t>3l</t>
    <phoneticPr fontId="4" type="noConversion"/>
  </si>
  <si>
    <t>1m</t>
    <phoneticPr fontId="4" type="noConversion"/>
  </si>
  <si>
    <t>2m</t>
    <phoneticPr fontId="4" type="noConversion"/>
  </si>
  <si>
    <t>3m</t>
    <phoneticPr fontId="4" type="noConversion"/>
  </si>
  <si>
    <t>1n</t>
    <phoneticPr fontId="4" type="noConversion"/>
  </si>
  <si>
    <t>2n</t>
    <phoneticPr fontId="4" type="noConversion"/>
  </si>
  <si>
    <t>3n</t>
    <phoneticPr fontId="4" type="noConversion"/>
  </si>
  <si>
    <t>1o</t>
    <phoneticPr fontId="4" type="noConversion"/>
  </si>
  <si>
    <t>2o</t>
    <phoneticPr fontId="4" type="noConversion"/>
  </si>
  <si>
    <t>3o</t>
    <phoneticPr fontId="4" type="noConversion"/>
  </si>
  <si>
    <t>1p</t>
    <phoneticPr fontId="4" type="noConversion"/>
  </si>
  <si>
    <t>2p</t>
    <phoneticPr fontId="4" type="noConversion"/>
  </si>
  <si>
    <t>3p</t>
    <phoneticPr fontId="4" type="noConversion"/>
  </si>
  <si>
    <t>1q</t>
    <phoneticPr fontId="4" type="noConversion"/>
  </si>
  <si>
    <t>2q</t>
    <phoneticPr fontId="4" type="noConversion"/>
  </si>
  <si>
    <t>3q</t>
    <phoneticPr fontId="4" type="noConversion"/>
  </si>
  <si>
    <t>1r</t>
    <phoneticPr fontId="4" type="noConversion"/>
  </si>
  <si>
    <t>2r</t>
    <phoneticPr fontId="4" type="noConversion"/>
  </si>
  <si>
    <t>3r</t>
    <phoneticPr fontId="4" type="noConversion"/>
  </si>
  <si>
    <t>1s</t>
    <phoneticPr fontId="4" type="noConversion"/>
  </si>
  <si>
    <t>2s</t>
    <phoneticPr fontId="4" type="noConversion"/>
  </si>
  <si>
    <t>3s</t>
    <phoneticPr fontId="4" type="noConversion"/>
  </si>
  <si>
    <t>1t</t>
    <phoneticPr fontId="4" type="noConversion"/>
  </si>
  <si>
    <t>2t</t>
    <phoneticPr fontId="4" type="noConversion"/>
  </si>
  <si>
    <t>3t</t>
    <phoneticPr fontId="4" type="noConversion"/>
  </si>
  <si>
    <t>1u</t>
    <phoneticPr fontId="4" type="noConversion"/>
  </si>
  <si>
    <t>2u</t>
    <phoneticPr fontId="4" type="noConversion"/>
  </si>
  <si>
    <t>3u</t>
    <phoneticPr fontId="4" type="noConversion"/>
  </si>
  <si>
    <t>1v</t>
    <phoneticPr fontId="4" type="noConversion"/>
  </si>
  <si>
    <t>2v</t>
    <phoneticPr fontId="4" type="noConversion"/>
  </si>
  <si>
    <t>3v</t>
    <phoneticPr fontId="4" type="noConversion"/>
  </si>
  <si>
    <t>1w</t>
    <phoneticPr fontId="4" type="noConversion"/>
  </si>
  <si>
    <t>2w</t>
    <phoneticPr fontId="4" type="noConversion"/>
  </si>
  <si>
    <t>3w</t>
    <phoneticPr fontId="4" type="noConversion"/>
  </si>
  <si>
    <t>1x</t>
    <phoneticPr fontId="4" type="noConversion"/>
  </si>
  <si>
    <t>2x</t>
    <phoneticPr fontId="4" type="noConversion"/>
  </si>
  <si>
    <t>3x</t>
    <phoneticPr fontId="4" type="noConversion"/>
  </si>
  <si>
    <t>1y</t>
    <phoneticPr fontId="4" type="noConversion"/>
  </si>
  <si>
    <t>2y</t>
    <phoneticPr fontId="4" type="noConversion"/>
  </si>
  <si>
    <t>3y</t>
    <phoneticPr fontId="4" type="noConversion"/>
  </si>
  <si>
    <t>1z</t>
    <phoneticPr fontId="4" type="noConversion"/>
  </si>
  <si>
    <t>2z</t>
    <phoneticPr fontId="4" type="noConversion"/>
  </si>
  <si>
    <t>3z</t>
    <phoneticPr fontId="4" type="noConversion"/>
  </si>
  <si>
    <t>1aa</t>
    <phoneticPr fontId="4" type="noConversion"/>
  </si>
  <si>
    <t>2aa</t>
    <phoneticPr fontId="4" type="noConversion"/>
  </si>
  <si>
    <t>3aa</t>
    <phoneticPr fontId="4" type="noConversion"/>
  </si>
  <si>
    <t>1ab</t>
    <phoneticPr fontId="4" type="noConversion"/>
  </si>
  <si>
    <t>2ab</t>
    <phoneticPr fontId="4" type="noConversion"/>
  </si>
  <si>
    <t>3ab</t>
    <phoneticPr fontId="4" type="noConversion"/>
  </si>
  <si>
    <t>1ac</t>
    <phoneticPr fontId="4" type="noConversion"/>
  </si>
  <si>
    <t>2ac</t>
    <phoneticPr fontId="4" type="noConversion"/>
  </si>
  <si>
    <t>3ac</t>
    <phoneticPr fontId="4" type="noConversion"/>
  </si>
  <si>
    <t>1ad</t>
    <phoneticPr fontId="4" type="noConversion"/>
  </si>
  <si>
    <t>2ad</t>
    <phoneticPr fontId="4" type="noConversion"/>
  </si>
  <si>
    <t>3ad</t>
    <phoneticPr fontId="4" type="noConversion"/>
  </si>
  <si>
    <t>1ae</t>
    <phoneticPr fontId="4" type="noConversion"/>
  </si>
  <si>
    <t>2ae</t>
    <phoneticPr fontId="4" type="noConversion"/>
  </si>
  <si>
    <t>3ae</t>
    <phoneticPr fontId="4" type="noConversion"/>
  </si>
  <si>
    <t>1af</t>
    <phoneticPr fontId="4" type="noConversion"/>
  </si>
  <si>
    <t>2af</t>
    <phoneticPr fontId="4" type="noConversion"/>
  </si>
  <si>
    <t>3af</t>
    <phoneticPr fontId="4" type="noConversion"/>
  </si>
  <si>
    <t>1ag</t>
    <phoneticPr fontId="4" type="noConversion"/>
  </si>
  <si>
    <t>2ag</t>
    <phoneticPr fontId="4" type="noConversion"/>
  </si>
  <si>
    <t>3ag</t>
    <phoneticPr fontId="4" type="noConversion"/>
  </si>
  <si>
    <t>1ah</t>
    <phoneticPr fontId="4" type="noConversion"/>
  </si>
  <si>
    <t>2ah</t>
    <phoneticPr fontId="4" type="noConversion"/>
  </si>
  <si>
    <t>3ah</t>
    <phoneticPr fontId="4" type="noConversion"/>
  </si>
  <si>
    <t>Conversion rate (%)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</si>
</sst>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81" formatCode="0_ "/>
    <numFmt numFmtId="182" formatCode="0.00_);[Red]\(0.00\)"/>
  </numFmts>
  <fonts count="12" x14ac:knownFonts="1">
    <font>
      <sz val="11"/>
      <color theme="1"/>
      <name val="宋体"/>
      <charset val="134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宋体"/>
      <family val="3"/>
      <charset val="134"/>
      <scheme val="minor"/>
    </font>
    <font>
      <sz val="11"/>
      <name val="Arial"/>
      <family val="2"/>
    </font>
    <font>
      <sz val="11"/>
      <color theme="1"/>
      <name val="宋体"/>
      <family val="2"/>
      <charset val="134"/>
      <scheme val="minor"/>
    </font>
    <font>
      <b/>
      <sz val="11"/>
      <name val="Arial"/>
      <family val="2"/>
    </font>
    <font>
      <sz val="11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>
      <alignment vertical="center"/>
    </xf>
    <xf numFmtId="0" fontId="3" fillId="0" borderId="0"/>
    <xf numFmtId="0" fontId="7" fillId="0" borderId="0">
      <alignment vertical="center"/>
    </xf>
    <xf numFmtId="0" fontId="2" fillId="0" borderId="0"/>
    <xf numFmtId="0" fontId="9" fillId="0" borderId="0">
      <alignment vertical="center"/>
    </xf>
  </cellStyleXfs>
  <cellXfs count="32">
    <xf numFmtId="0" fontId="0" fillId="0" borderId="0" xfId="0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176" fontId="8" fillId="0" borderId="0" xfId="0" applyNumberFormat="1" applyFont="1" applyAlignment="1">
      <alignment horizontal="right" vertical="center"/>
    </xf>
    <xf numFmtId="176" fontId="8" fillId="0" borderId="0" xfId="0" applyNumberFormat="1" applyFont="1" applyAlignment="1">
      <alignment horizontal="center" vertical="center"/>
    </xf>
    <xf numFmtId="176" fontId="8" fillId="0" borderId="0" xfId="0" applyNumberFormat="1" applyFont="1">
      <alignment vertical="center"/>
    </xf>
    <xf numFmtId="176" fontId="8" fillId="0" borderId="0" xfId="1" applyNumberFormat="1" applyFont="1"/>
    <xf numFmtId="176" fontId="8" fillId="0" borderId="0" xfId="0" applyNumberFormat="1" applyFont="1" applyAlignment="1">
      <alignment horizontal="left" vertical="center" wrapText="1" indent="1"/>
    </xf>
    <xf numFmtId="176" fontId="8" fillId="0" borderId="0" xfId="4" applyNumberFormat="1" applyFont="1">
      <alignment vertical="center"/>
    </xf>
    <xf numFmtId="0" fontId="5" fillId="0" borderId="0" xfId="0" applyFont="1" applyAlignment="1">
      <alignment horizontal="right" vertical="center"/>
    </xf>
    <xf numFmtId="176" fontId="5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right" vertical="center"/>
    </xf>
    <xf numFmtId="176" fontId="8" fillId="0" borderId="0" xfId="0" applyNumberFormat="1" applyFont="1" applyAlignment="1">
      <alignment horizontal="right"/>
    </xf>
    <xf numFmtId="0" fontId="10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176" fontId="5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center"/>
    </xf>
    <xf numFmtId="0" fontId="8" fillId="0" borderId="0" xfId="0" applyFont="1" applyAlignment="1"/>
    <xf numFmtId="176" fontId="5" fillId="0" borderId="0" xfId="0" applyNumberFormat="1" applyFont="1">
      <alignment vertical="center"/>
    </xf>
    <xf numFmtId="0" fontId="11" fillId="0" borderId="0" xfId="0" applyFont="1">
      <alignment vertical="center"/>
    </xf>
    <xf numFmtId="0" fontId="5" fillId="0" borderId="0" xfId="4" applyFont="1">
      <alignment vertical="center"/>
    </xf>
    <xf numFmtId="176" fontId="10" fillId="0" borderId="0" xfId="0" applyNumberFormat="1" applyFont="1" applyAlignment="1">
      <alignment horizontal="center" vertical="center"/>
    </xf>
    <xf numFmtId="176" fontId="6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81" fontId="8" fillId="0" borderId="0" xfId="0" applyNumberFormat="1" applyFont="1">
      <alignment vertical="center"/>
    </xf>
    <xf numFmtId="182" fontId="8" fillId="0" borderId="0" xfId="0" applyNumberFormat="1" applyFont="1">
      <alignment vertical="center"/>
    </xf>
    <xf numFmtId="176" fontId="8" fillId="0" borderId="0" xfId="0" applyNumberFormat="1" applyFont="1" applyAlignment="1"/>
  </cellXfs>
  <cellStyles count="5">
    <cellStyle name="常规" xfId="0" builtinId="0"/>
    <cellStyle name="常规 2" xfId="1" xr:uid="{F0100E71-A2A9-47AC-8711-C6866FFADFCA}"/>
    <cellStyle name="常规 2 2" xfId="3" xr:uid="{416F8A8C-0ED7-4242-AE30-89F652E97B9A}"/>
    <cellStyle name="常规 3" xfId="2" xr:uid="{BC240D10-B575-44D1-BAB1-8ABDECF99C75}"/>
    <cellStyle name="常规 4" xfId="4" xr:uid="{53775D18-CF7F-47CB-A07E-90B28CBCB23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M26"/>
  <sheetViews>
    <sheetView zoomScaleNormal="100" workbookViewId="0">
      <selection sqref="A1:XFD1048576"/>
    </sheetView>
  </sheetViews>
  <sheetFormatPr defaultColWidth="9" defaultRowHeight="14.15" x14ac:dyDescent="0.3"/>
  <cols>
    <col min="1" max="1" width="9" style="7"/>
    <col min="2" max="2" width="20.3046875" style="7" bestFit="1" customWidth="1"/>
    <col min="3" max="5" width="9.3046875" style="7" bestFit="1" customWidth="1"/>
    <col min="6" max="6" width="8.3828125" style="7" bestFit="1" customWidth="1"/>
    <col min="7" max="7" width="4.4609375" style="7" bestFit="1" customWidth="1"/>
    <col min="8" max="10" width="9.3046875" style="7" bestFit="1" customWidth="1"/>
    <col min="11" max="11" width="8.3828125" style="7" bestFit="1" customWidth="1"/>
    <col min="12" max="12" width="5" style="7" bestFit="1" customWidth="1"/>
    <col min="13" max="16384" width="9" style="7"/>
  </cols>
  <sheetData>
    <row r="3" spans="1:13" x14ac:dyDescent="0.35">
      <c r="A3" s="8"/>
    </row>
    <row r="4" spans="1:13" x14ac:dyDescent="0.35">
      <c r="A4" s="8"/>
      <c r="B4" s="5" t="s">
        <v>86</v>
      </c>
      <c r="C4" s="23" t="s">
        <v>20</v>
      </c>
      <c r="D4" s="23"/>
      <c r="E4" s="23"/>
      <c r="F4" s="23"/>
      <c r="G4" s="23"/>
      <c r="H4" s="23" t="s">
        <v>21</v>
      </c>
      <c r="I4" s="23"/>
      <c r="J4" s="23"/>
      <c r="K4" s="23"/>
      <c r="L4" s="23"/>
    </row>
    <row r="5" spans="1:13" x14ac:dyDescent="0.35">
      <c r="A5" s="8"/>
      <c r="B5" s="5"/>
      <c r="C5" s="6" t="s">
        <v>97</v>
      </c>
      <c r="D5" s="6" t="s">
        <v>98</v>
      </c>
      <c r="E5" s="6" t="s">
        <v>99</v>
      </c>
      <c r="F5" s="6" t="s">
        <v>95</v>
      </c>
      <c r="G5" s="6" t="s">
        <v>96</v>
      </c>
      <c r="H5" s="6" t="s">
        <v>97</v>
      </c>
      <c r="I5" s="6" t="s">
        <v>98</v>
      </c>
      <c r="J5" s="6" t="s">
        <v>99</v>
      </c>
      <c r="K5" s="6" t="s">
        <v>95</v>
      </c>
      <c r="L5" s="6" t="s">
        <v>96</v>
      </c>
    </row>
    <row r="6" spans="1:13" x14ac:dyDescent="0.35">
      <c r="A6" s="8"/>
      <c r="B6" s="5" t="s">
        <v>87</v>
      </c>
      <c r="C6" s="31">
        <v>0.64235918476099996</v>
      </c>
      <c r="D6" s="31">
        <v>0.88423591847609995</v>
      </c>
      <c r="E6" s="31">
        <v>1.0447162534892001</v>
      </c>
      <c r="F6" s="30"/>
      <c r="H6" s="31">
        <v>98.135182746391706</v>
      </c>
      <c r="I6" s="31">
        <v>98.9543192568471</v>
      </c>
      <c r="J6" s="31">
        <v>98.827364918253593</v>
      </c>
      <c r="K6" s="7">
        <f>AVERAGE(H6:J6)</f>
        <v>98.638955640497457</v>
      </c>
      <c r="L6" s="29">
        <f>K6/K10</f>
        <v>337.53758604692268</v>
      </c>
    </row>
    <row r="7" spans="1:13" x14ac:dyDescent="0.35">
      <c r="A7" s="8"/>
      <c r="B7" s="5" t="s">
        <v>88</v>
      </c>
      <c r="C7" s="31">
        <v>0.52019847351240001</v>
      </c>
      <c r="D7" s="31">
        <v>0.3938271346985</v>
      </c>
      <c r="E7" s="31">
        <v>0.53416278935469996</v>
      </c>
      <c r="F7" s="30"/>
      <c r="H7" s="31">
        <v>48.347592816435203</v>
      </c>
      <c r="I7" s="31">
        <v>45.883917465829299</v>
      </c>
      <c r="J7" s="31">
        <v>49.941628375294798</v>
      </c>
      <c r="K7" s="7">
        <f t="shared" ref="K7:K14" si="0">AVERAGE(H7:J7)</f>
        <v>48.057712885853107</v>
      </c>
      <c r="L7" s="29">
        <f>K7/K10</f>
        <v>164.45109635535411</v>
      </c>
    </row>
    <row r="8" spans="1:13" x14ac:dyDescent="0.35">
      <c r="A8" s="8"/>
      <c r="B8" s="5" t="s">
        <v>89</v>
      </c>
      <c r="C8" s="31">
        <v>0.53416278935469996</v>
      </c>
      <c r="D8" s="31">
        <v>1.0542371486527999</v>
      </c>
      <c r="E8" s="31">
        <v>1.4325192846357</v>
      </c>
      <c r="F8" s="30"/>
      <c r="H8" s="31">
        <v>19.4786239152847</v>
      </c>
      <c r="I8" s="31">
        <v>17.558273461982498</v>
      </c>
      <c r="J8" s="31">
        <v>18.789451237658401</v>
      </c>
      <c r="K8" s="7">
        <f t="shared" si="0"/>
        <v>18.608782871641864</v>
      </c>
      <c r="L8" s="29"/>
    </row>
    <row r="9" spans="1:13" x14ac:dyDescent="0.35">
      <c r="A9" s="8"/>
      <c r="B9" s="5" t="s">
        <v>89</v>
      </c>
      <c r="C9" s="31">
        <v>0.53416278935469996</v>
      </c>
      <c r="D9" s="31">
        <v>1.0542371486527999</v>
      </c>
      <c r="E9" s="31">
        <v>1.4325192846357</v>
      </c>
      <c r="F9" s="30"/>
      <c r="H9" s="31">
        <v>19.4786239152847</v>
      </c>
      <c r="I9" s="31">
        <v>17.558273461982498</v>
      </c>
      <c r="J9" s="31">
        <v>18.789451237658401</v>
      </c>
      <c r="K9" s="7">
        <f t="shared" si="0"/>
        <v>18.608782871641864</v>
      </c>
      <c r="L9" s="29"/>
    </row>
    <row r="10" spans="1:13" x14ac:dyDescent="0.35">
      <c r="A10" s="8"/>
      <c r="B10" s="5" t="s">
        <v>90</v>
      </c>
      <c r="C10" s="31">
        <v>1.9935821749653</v>
      </c>
      <c r="D10" s="31">
        <v>1.6284139752468001</v>
      </c>
      <c r="E10" s="31">
        <v>1.5197684315927</v>
      </c>
      <c r="F10" s="30">
        <f t="shared" ref="F10:F13" si="1">AVERAGE(C10:E10)</f>
        <v>1.7139215272682666</v>
      </c>
      <c r="G10" s="29"/>
      <c r="H10" s="31">
        <v>0.35817264938409998</v>
      </c>
      <c r="I10" s="31">
        <v>0.21759384612970001</v>
      </c>
      <c r="J10" s="31">
        <v>0.30092658743180001</v>
      </c>
      <c r="K10" s="7">
        <f t="shared" si="0"/>
        <v>0.29223102764853331</v>
      </c>
      <c r="L10" s="29"/>
    </row>
    <row r="11" spans="1:13" x14ac:dyDescent="0.35">
      <c r="A11" s="8"/>
      <c r="B11" s="5" t="s">
        <v>92</v>
      </c>
      <c r="C11" s="31">
        <v>9.8427135962840993</v>
      </c>
      <c r="D11" s="31">
        <v>8.3456192834758998</v>
      </c>
      <c r="E11" s="31">
        <v>8.5561972348591002</v>
      </c>
      <c r="F11" s="30">
        <f t="shared" si="1"/>
        <v>8.914843371539698</v>
      </c>
      <c r="G11" s="29"/>
      <c r="H11" s="31">
        <v>0.1032854719624</v>
      </c>
      <c r="I11" s="31">
        <v>0.19328547196240001</v>
      </c>
      <c r="J11" s="31">
        <v>5.9271834652100001E-2</v>
      </c>
      <c r="K11" s="7">
        <f t="shared" si="0"/>
        <v>0.11861425952563333</v>
      </c>
      <c r="L11" s="29"/>
    </row>
    <row r="12" spans="1:13" x14ac:dyDescent="0.35">
      <c r="B12" s="5" t="s">
        <v>91</v>
      </c>
      <c r="C12" s="31">
        <v>18.9653428175396</v>
      </c>
      <c r="D12" s="31">
        <v>15.678491325746201</v>
      </c>
      <c r="E12" s="31">
        <v>18.8219462753847</v>
      </c>
      <c r="F12" s="30">
        <f t="shared" si="1"/>
        <v>17.821926806223502</v>
      </c>
      <c r="G12" s="29"/>
      <c r="H12" s="31">
        <v>0.3875142968352</v>
      </c>
      <c r="I12" s="31">
        <v>5.1729648372499999E-2</v>
      </c>
      <c r="J12" s="31">
        <v>0.1183645927834</v>
      </c>
      <c r="K12" s="7">
        <f t="shared" si="0"/>
        <v>0.1858695126637</v>
      </c>
      <c r="L12" s="29"/>
    </row>
    <row r="13" spans="1:13" x14ac:dyDescent="0.35">
      <c r="B13" s="5" t="s">
        <v>93</v>
      </c>
      <c r="C13" s="31">
        <v>42.013578294651701</v>
      </c>
      <c r="D13" s="31">
        <v>39.219185647321403</v>
      </c>
      <c r="E13" s="31">
        <v>40.5392478165342</v>
      </c>
      <c r="F13" s="30">
        <f t="shared" si="1"/>
        <v>40.590670586169104</v>
      </c>
      <c r="G13" s="29">
        <f>F13/F10</f>
        <v>23.682922432781702</v>
      </c>
      <c r="H13" s="31">
        <v>0.58249173628509998</v>
      </c>
      <c r="I13" s="31">
        <v>0.34918273659479998</v>
      </c>
      <c r="J13" s="31">
        <v>0.3174285961835</v>
      </c>
      <c r="K13" s="7">
        <f t="shared" si="0"/>
        <v>0.41636768968779997</v>
      </c>
      <c r="L13" s="29"/>
    </row>
    <row r="14" spans="1:13" x14ac:dyDescent="0.35">
      <c r="B14" s="5" t="s">
        <v>94</v>
      </c>
      <c r="C14" s="31">
        <v>98.114362798531701</v>
      </c>
      <c r="D14" s="31">
        <v>95.832147965384195</v>
      </c>
      <c r="E14" s="31">
        <v>97.125983471629496</v>
      </c>
      <c r="F14" s="30">
        <f>AVERAGE(C14:E14)</f>
        <v>97.024164745181793</v>
      </c>
      <c r="G14" s="29">
        <f>F14/F10</f>
        <v>56.609455684837407</v>
      </c>
      <c r="H14" s="31">
        <v>1.2584719365248</v>
      </c>
      <c r="I14" s="31">
        <v>0.74918462357820004</v>
      </c>
      <c r="J14" s="31">
        <v>0.9472638195427</v>
      </c>
      <c r="K14" s="7">
        <f t="shared" si="0"/>
        <v>0.9849734598819001</v>
      </c>
      <c r="L14" s="29"/>
    </row>
    <row r="16" spans="1:13" x14ac:dyDescent="0.3">
      <c r="M16" s="9"/>
    </row>
    <row r="17" spans="4:10" x14ac:dyDescent="0.3">
      <c r="I17" s="10"/>
      <c r="J17" s="10"/>
    </row>
    <row r="18" spans="4:10" x14ac:dyDescent="0.3">
      <c r="D18" s="10"/>
      <c r="I18" s="10"/>
      <c r="J18" s="10"/>
    </row>
    <row r="19" spans="4:10" x14ac:dyDescent="0.3">
      <c r="D19" s="10"/>
      <c r="I19" s="10"/>
      <c r="J19" s="10"/>
    </row>
    <row r="20" spans="4:10" x14ac:dyDescent="0.3">
      <c r="D20" s="10"/>
    </row>
    <row r="21" spans="4:10" x14ac:dyDescent="0.3">
      <c r="D21" s="10"/>
    </row>
    <row r="22" spans="4:10" x14ac:dyDescent="0.3">
      <c r="D22" s="10"/>
    </row>
    <row r="23" spans="4:10" x14ac:dyDescent="0.3">
      <c r="D23" s="10"/>
    </row>
    <row r="24" spans="4:10" x14ac:dyDescent="0.3">
      <c r="D24" s="10"/>
    </row>
    <row r="25" spans="4:10" x14ac:dyDescent="0.3">
      <c r="D25" s="10"/>
    </row>
    <row r="26" spans="4:10" x14ac:dyDescent="0.3">
      <c r="D26" s="10"/>
    </row>
  </sheetData>
  <mergeCells count="2">
    <mergeCell ref="C4:G4"/>
    <mergeCell ref="H4:L4"/>
  </mergeCells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H13"/>
  <sheetViews>
    <sheetView workbookViewId="0">
      <selection sqref="A1:XFD1048576"/>
    </sheetView>
  </sheetViews>
  <sheetFormatPr defaultColWidth="9" defaultRowHeight="14.15" x14ac:dyDescent="0.3"/>
  <cols>
    <col min="1" max="1" width="9" style="1"/>
    <col min="2" max="2" width="35.3828125" style="1" bestFit="1" customWidth="1"/>
    <col min="3" max="8" width="9.3046875" style="1" bestFit="1" customWidth="1"/>
    <col min="9" max="16384" width="9" style="1"/>
  </cols>
  <sheetData>
    <row r="2" spans="2:8" x14ac:dyDescent="0.3">
      <c r="B2" s="11" t="s">
        <v>86</v>
      </c>
      <c r="C2" s="24" t="s">
        <v>20</v>
      </c>
      <c r="D2" s="24"/>
      <c r="E2" s="24"/>
      <c r="F2" s="24" t="s">
        <v>21</v>
      </c>
      <c r="G2" s="24"/>
      <c r="H2" s="24"/>
    </row>
    <row r="3" spans="2:8" x14ac:dyDescent="0.3">
      <c r="B3" s="11"/>
      <c r="C3" s="12" t="s">
        <v>97</v>
      </c>
      <c r="D3" s="12" t="s">
        <v>98</v>
      </c>
      <c r="E3" s="12" t="s">
        <v>99</v>
      </c>
      <c r="F3" s="12" t="s">
        <v>97</v>
      </c>
      <c r="G3" s="12" t="s">
        <v>98</v>
      </c>
      <c r="H3" s="12" t="s">
        <v>99</v>
      </c>
    </row>
    <row r="4" spans="2:8" x14ac:dyDescent="0.3">
      <c r="B4" s="13" t="s">
        <v>80</v>
      </c>
      <c r="C4" s="5">
        <v>18.360307263644302</v>
      </c>
      <c r="D4" s="5">
        <v>17.477334037994861</v>
      </c>
      <c r="E4" s="5">
        <v>15.182306082890271</v>
      </c>
      <c r="F4" s="5">
        <v>0</v>
      </c>
      <c r="G4" s="5">
        <v>0</v>
      </c>
      <c r="H4" s="5">
        <v>0</v>
      </c>
    </row>
    <row r="5" spans="2:8" x14ac:dyDescent="0.3">
      <c r="B5" s="13" t="s">
        <v>81</v>
      </c>
      <c r="C5" s="5">
        <v>0</v>
      </c>
      <c r="D5" s="5">
        <v>0</v>
      </c>
      <c r="E5" s="5">
        <v>0</v>
      </c>
      <c r="F5" s="5">
        <v>90.281624441219691</v>
      </c>
      <c r="G5" s="5">
        <v>90.452439941286869</v>
      </c>
      <c r="H5" s="5">
        <v>90.469296185064863</v>
      </c>
    </row>
    <row r="6" spans="2:8" x14ac:dyDescent="0.3">
      <c r="B6" s="13" t="s">
        <v>78</v>
      </c>
      <c r="C6" s="5">
        <v>37.12008067928479</v>
      </c>
      <c r="D6" s="5">
        <v>39.77000382992459</v>
      </c>
      <c r="E6" s="5">
        <v>40.762857424785466</v>
      </c>
      <c r="F6" s="5">
        <v>0</v>
      </c>
      <c r="G6" s="5">
        <v>0</v>
      </c>
      <c r="H6" s="5">
        <v>0</v>
      </c>
    </row>
    <row r="7" spans="2:8" x14ac:dyDescent="0.3">
      <c r="B7" s="13" t="s">
        <v>82</v>
      </c>
      <c r="C7" s="5">
        <v>0</v>
      </c>
      <c r="D7" s="5">
        <v>0</v>
      </c>
      <c r="E7" s="5">
        <v>0</v>
      </c>
      <c r="F7" s="5">
        <v>2.433239619488587</v>
      </c>
      <c r="G7" s="5">
        <v>7.1501316401869239</v>
      </c>
      <c r="H7" s="5">
        <v>5.9268138952958171</v>
      </c>
    </row>
    <row r="8" spans="2:8" x14ac:dyDescent="0.3">
      <c r="B8" s="13" t="s">
        <v>77</v>
      </c>
      <c r="C8" s="5">
        <v>13.725688022841871</v>
      </c>
      <c r="D8" s="5">
        <v>15.609567943152989</v>
      </c>
      <c r="E8" s="5">
        <v>13.261741653738307</v>
      </c>
      <c r="F8" s="5">
        <v>0</v>
      </c>
      <c r="G8" s="5">
        <v>0</v>
      </c>
      <c r="H8" s="5">
        <v>0</v>
      </c>
    </row>
    <row r="9" spans="2:8" x14ac:dyDescent="0.3">
      <c r="B9" s="13" t="s">
        <v>83</v>
      </c>
      <c r="C9" s="5">
        <v>1.2261882674266287</v>
      </c>
      <c r="D9" s="5">
        <v>1.3231083450779821</v>
      </c>
      <c r="E9" s="5">
        <v>2.9583802707976883</v>
      </c>
      <c r="F9" s="5">
        <v>29.14460406573933</v>
      </c>
      <c r="G9" s="5">
        <v>21.350116796189731</v>
      </c>
      <c r="H9" s="5">
        <v>23.990012098378831</v>
      </c>
    </row>
    <row r="10" spans="2:8" x14ac:dyDescent="0.3">
      <c r="B10" s="13" t="s">
        <v>84</v>
      </c>
      <c r="C10" s="5">
        <v>6.936745317875741</v>
      </c>
      <c r="D10" s="5">
        <v>7.4263825074213399</v>
      </c>
      <c r="E10" s="5">
        <v>8.5492413213925804</v>
      </c>
      <c r="F10" s="5">
        <v>28.118679121651745</v>
      </c>
      <c r="G10" s="5">
        <v>28.538618955507573</v>
      </c>
      <c r="H10" s="5">
        <v>26.717900363854962</v>
      </c>
    </row>
    <row r="11" spans="2:8" x14ac:dyDescent="0.3">
      <c r="B11" s="13" t="s">
        <v>76</v>
      </c>
      <c r="C11" s="5">
        <v>0</v>
      </c>
      <c r="D11" s="5">
        <v>0</v>
      </c>
      <c r="E11" s="5">
        <v>0</v>
      </c>
      <c r="F11" s="5">
        <v>77.935617158099546</v>
      </c>
      <c r="G11" s="5">
        <v>85.9880125198776</v>
      </c>
      <c r="H11" s="5">
        <v>70.550969297118925</v>
      </c>
    </row>
    <row r="12" spans="2:8" x14ac:dyDescent="0.3">
      <c r="B12" s="13" t="s">
        <v>85</v>
      </c>
      <c r="C12" s="5">
        <v>90.539252476089231</v>
      </c>
      <c r="D12" s="5">
        <v>90.046868371835004</v>
      </c>
      <c r="E12" s="5">
        <v>77.696734670744959</v>
      </c>
      <c r="F12" s="5">
        <v>0</v>
      </c>
      <c r="G12" s="5">
        <v>0</v>
      </c>
      <c r="H12" s="5">
        <v>0</v>
      </c>
    </row>
    <row r="13" spans="2:8" x14ac:dyDescent="0.3">
      <c r="B13" s="13" t="s">
        <v>79</v>
      </c>
      <c r="C13" s="5">
        <v>14.787058069267989</v>
      </c>
      <c r="D13" s="5">
        <v>15.893954177437969</v>
      </c>
      <c r="E13" s="5">
        <v>14.983208524763707</v>
      </c>
      <c r="F13" s="5">
        <v>3.3219259226670101</v>
      </c>
      <c r="G13" s="5">
        <v>3.436801882046562</v>
      </c>
      <c r="H13" s="5">
        <v>3.589650411569842</v>
      </c>
    </row>
  </sheetData>
  <mergeCells count="2">
    <mergeCell ref="C2:E2"/>
    <mergeCell ref="F2:H2"/>
  </mergeCells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69D54-F011-4F00-ACC4-2E98F842505A}">
  <dimension ref="B2:N231"/>
  <sheetViews>
    <sheetView zoomScaleNormal="100" workbookViewId="0">
      <selection sqref="A1:XFD1048576"/>
    </sheetView>
  </sheetViews>
  <sheetFormatPr defaultRowHeight="14.15" x14ac:dyDescent="0.3"/>
  <cols>
    <col min="1" max="1" width="9.23046875" style="1"/>
    <col min="2" max="2" width="5.53515625" style="1" bestFit="1" customWidth="1"/>
    <col min="3" max="14" width="13.3046875" style="1" bestFit="1" customWidth="1"/>
    <col min="15" max="16384" width="9.23046875" style="1"/>
  </cols>
  <sheetData>
    <row r="2" spans="2:11" x14ac:dyDescent="0.3">
      <c r="C2" s="25" t="s">
        <v>101</v>
      </c>
      <c r="D2" s="25"/>
      <c r="E2" s="25"/>
      <c r="F2" s="25"/>
      <c r="G2" s="25"/>
      <c r="H2" s="25"/>
      <c r="I2" s="25" t="s">
        <v>86</v>
      </c>
      <c r="J2" s="25"/>
      <c r="K2" s="25"/>
    </row>
    <row r="3" spans="2:11" x14ac:dyDescent="0.3">
      <c r="B3" s="3" t="s">
        <v>100</v>
      </c>
      <c r="C3" s="26" t="s">
        <v>20</v>
      </c>
      <c r="D3" s="26"/>
      <c r="E3" s="26"/>
      <c r="F3" s="26" t="s">
        <v>21</v>
      </c>
      <c r="G3" s="26"/>
      <c r="H3" s="26"/>
      <c r="I3" s="25"/>
      <c r="J3" s="25"/>
      <c r="K3" s="25"/>
    </row>
    <row r="4" spans="2:11" x14ac:dyDescent="0.3">
      <c r="C4" s="2" t="s">
        <v>102</v>
      </c>
      <c r="D4" s="2" t="s">
        <v>103</v>
      </c>
      <c r="E4" s="2" t="s">
        <v>104</v>
      </c>
      <c r="F4" s="2" t="s">
        <v>102</v>
      </c>
      <c r="G4" s="2" t="s">
        <v>103</v>
      </c>
      <c r="H4" s="2" t="s">
        <v>104</v>
      </c>
      <c r="I4" s="2" t="s">
        <v>102</v>
      </c>
      <c r="J4" s="2" t="s">
        <v>103</v>
      </c>
      <c r="K4" s="2" t="s">
        <v>104</v>
      </c>
    </row>
    <row r="5" spans="2:11" x14ac:dyDescent="0.3">
      <c r="B5" s="1" t="s">
        <v>90</v>
      </c>
      <c r="C5" s="1">
        <v>92.548261972992165</v>
      </c>
      <c r="D5" s="1">
        <v>92.654334567479395</v>
      </c>
      <c r="E5" s="1">
        <v>92.59391082249337</v>
      </c>
      <c r="F5" s="1">
        <v>7.4517380270078313</v>
      </c>
      <c r="G5" s="1">
        <v>7.3456654325206063</v>
      </c>
      <c r="H5" s="1">
        <v>7.4060891775066207</v>
      </c>
      <c r="I5" s="1">
        <v>0.10495020105972352</v>
      </c>
      <c r="J5" s="1">
        <v>3.5503393296669419</v>
      </c>
      <c r="K5" s="1">
        <v>0.46462640530022803</v>
      </c>
    </row>
    <row r="6" spans="2:11" x14ac:dyDescent="0.3">
      <c r="B6" s="1" t="s">
        <v>94</v>
      </c>
      <c r="C6" s="1">
        <v>97.828751146236087</v>
      </c>
      <c r="D6" s="1">
        <v>97.728683327477</v>
      </c>
      <c r="E6" s="1">
        <v>97.78788009269779</v>
      </c>
      <c r="F6" s="1">
        <v>2.1712488537639083</v>
      </c>
      <c r="G6" s="1">
        <v>2.271316672523001</v>
      </c>
      <c r="H6" s="1">
        <v>2.2121199073022146</v>
      </c>
      <c r="I6" s="1">
        <v>98.507785287234199</v>
      </c>
      <c r="J6" s="1">
        <v>99.677689554363909</v>
      </c>
      <c r="K6" s="1">
        <v>99.978864888810747</v>
      </c>
    </row>
    <row r="7" spans="2:11" x14ac:dyDescent="0.3">
      <c r="B7" s="1" t="s">
        <v>87</v>
      </c>
      <c r="C7" s="1">
        <v>2.3322356307004747E-2</v>
      </c>
      <c r="D7" s="1">
        <v>6.7498020325774871E-2</v>
      </c>
      <c r="E7" s="1">
        <v>6.2809746075148568E-2</v>
      </c>
      <c r="F7" s="1">
        <v>99.976677643692994</v>
      </c>
      <c r="G7" s="1">
        <v>99.932501979674228</v>
      </c>
      <c r="H7" s="1">
        <v>99.937190253924854</v>
      </c>
      <c r="I7" s="1">
        <v>91.533118739197448</v>
      </c>
      <c r="J7" s="1">
        <v>91.353796371056163</v>
      </c>
      <c r="K7" s="1">
        <v>88.669271245261982</v>
      </c>
    </row>
    <row r="9" spans="2:11" x14ac:dyDescent="0.3">
      <c r="C9" s="25" t="s">
        <v>101</v>
      </c>
      <c r="D9" s="25"/>
      <c r="E9" s="25"/>
      <c r="F9" s="25"/>
      <c r="G9" s="25"/>
      <c r="H9" s="25"/>
      <c r="I9" s="25" t="s">
        <v>86</v>
      </c>
      <c r="J9" s="25"/>
      <c r="K9" s="25"/>
    </row>
    <row r="10" spans="2:11" x14ac:dyDescent="0.3">
      <c r="B10" s="3" t="s">
        <v>105</v>
      </c>
      <c r="C10" s="26" t="s">
        <v>106</v>
      </c>
      <c r="D10" s="26"/>
      <c r="E10" s="26"/>
      <c r="F10" s="26" t="s">
        <v>107</v>
      </c>
      <c r="G10" s="26"/>
      <c r="H10" s="26"/>
      <c r="I10" s="25"/>
      <c r="J10" s="25"/>
      <c r="K10" s="25"/>
    </row>
    <row r="11" spans="2:11" x14ac:dyDescent="0.3">
      <c r="C11" s="2" t="s">
        <v>102</v>
      </c>
      <c r="D11" s="2" t="s">
        <v>103</v>
      </c>
      <c r="E11" s="2" t="s">
        <v>104</v>
      </c>
      <c r="F11" s="2" t="s">
        <v>102</v>
      </c>
      <c r="G11" s="2" t="s">
        <v>103</v>
      </c>
      <c r="H11" s="2" t="s">
        <v>104</v>
      </c>
      <c r="I11" s="2" t="s">
        <v>102</v>
      </c>
      <c r="J11" s="2" t="s">
        <v>103</v>
      </c>
      <c r="K11" s="2" t="s">
        <v>104</v>
      </c>
    </row>
    <row r="12" spans="2:11" x14ac:dyDescent="0.3">
      <c r="B12" s="1" t="s">
        <v>90</v>
      </c>
      <c r="C12" s="1">
        <v>59.296855488704736</v>
      </c>
      <c r="D12" s="1">
        <v>58.286416775638358</v>
      </c>
      <c r="E12" s="1">
        <v>58.162058272818243</v>
      </c>
      <c r="F12" s="1">
        <v>40.703144511295264</v>
      </c>
      <c r="G12" s="1">
        <v>41.713583224361635</v>
      </c>
      <c r="H12" s="1">
        <v>41.837941727181764</v>
      </c>
      <c r="I12" s="1">
        <v>7.3428410176261183</v>
      </c>
      <c r="J12" s="1">
        <v>6.8513680543850777</v>
      </c>
      <c r="K12" s="1">
        <v>6.9280960625980006</v>
      </c>
    </row>
    <row r="13" spans="2:11" x14ac:dyDescent="0.3">
      <c r="B13" s="1" t="s">
        <v>94</v>
      </c>
      <c r="C13" s="1">
        <v>97.98031891384251</v>
      </c>
      <c r="D13" s="1">
        <v>98.187258484578578</v>
      </c>
      <c r="E13" s="1">
        <v>98.155687105172134</v>
      </c>
      <c r="F13" s="1">
        <v>2.019681086157485</v>
      </c>
      <c r="G13" s="1">
        <v>1.8127415154214264</v>
      </c>
      <c r="H13" s="1">
        <v>1.8443128948278609</v>
      </c>
      <c r="I13" s="1">
        <v>24.213158042586663</v>
      </c>
      <c r="J13" s="1">
        <v>28.425396728110364</v>
      </c>
      <c r="K13" s="1">
        <v>29.878964088891614</v>
      </c>
    </row>
    <row r="14" spans="2:11" x14ac:dyDescent="0.3">
      <c r="B14" s="1" t="s">
        <v>87</v>
      </c>
      <c r="C14" s="1">
        <v>5.7927409596530381</v>
      </c>
      <c r="D14" s="1">
        <v>5.558282182632067</v>
      </c>
      <c r="E14" s="1">
        <v>5.897920974999562</v>
      </c>
      <c r="F14" s="1">
        <v>94.207259040346955</v>
      </c>
      <c r="G14" s="1">
        <v>94.44171781736793</v>
      </c>
      <c r="H14" s="1">
        <v>94.102079025000435</v>
      </c>
      <c r="I14" s="1">
        <v>19.543296610126205</v>
      </c>
      <c r="J14" s="1">
        <v>23.23164222709141</v>
      </c>
      <c r="K14" s="1">
        <v>22.925662320150774</v>
      </c>
    </row>
    <row r="16" spans="2:11" x14ac:dyDescent="0.3">
      <c r="C16" s="25" t="s">
        <v>101</v>
      </c>
      <c r="D16" s="25"/>
      <c r="E16" s="25"/>
      <c r="F16" s="25"/>
      <c r="G16" s="25"/>
      <c r="H16" s="25"/>
      <c r="I16" s="25" t="s">
        <v>86</v>
      </c>
      <c r="J16" s="25"/>
      <c r="K16" s="25"/>
    </row>
    <row r="17" spans="2:14" x14ac:dyDescent="0.3">
      <c r="B17" s="3" t="s">
        <v>108</v>
      </c>
      <c r="C17" s="26" t="s">
        <v>109</v>
      </c>
      <c r="D17" s="26"/>
      <c r="E17" s="26"/>
      <c r="F17" s="26" t="s">
        <v>110</v>
      </c>
      <c r="G17" s="26"/>
      <c r="H17" s="26"/>
      <c r="I17" s="25"/>
      <c r="J17" s="25"/>
      <c r="K17" s="25"/>
    </row>
    <row r="18" spans="2:14" x14ac:dyDescent="0.3">
      <c r="C18" s="2" t="s">
        <v>102</v>
      </c>
      <c r="D18" s="2" t="s">
        <v>103</v>
      </c>
      <c r="E18" s="2" t="s">
        <v>104</v>
      </c>
      <c r="F18" s="2" t="s">
        <v>102</v>
      </c>
      <c r="G18" s="2" t="s">
        <v>103</v>
      </c>
      <c r="H18" s="2" t="s">
        <v>104</v>
      </c>
      <c r="I18" s="2" t="s">
        <v>102</v>
      </c>
      <c r="J18" s="2" t="s">
        <v>103</v>
      </c>
      <c r="K18" s="2" t="s">
        <v>104</v>
      </c>
    </row>
    <row r="19" spans="2:14" x14ac:dyDescent="0.3">
      <c r="B19" s="1" t="s">
        <v>90</v>
      </c>
      <c r="C19" s="1">
        <v>73.774238970518596</v>
      </c>
      <c r="D19" s="1">
        <v>74.013375754821126</v>
      </c>
      <c r="E19" s="1">
        <v>73.909065670587054</v>
      </c>
      <c r="F19" s="1">
        <v>26.225761029481408</v>
      </c>
      <c r="G19" s="1">
        <v>25.986624245178884</v>
      </c>
      <c r="H19" s="1">
        <v>26.090934329412953</v>
      </c>
      <c r="I19" s="1">
        <v>0.75548224541436193</v>
      </c>
      <c r="J19" s="1">
        <v>1.8699638578352904</v>
      </c>
      <c r="K19" s="1">
        <v>4.2224488189675151</v>
      </c>
    </row>
    <row r="20" spans="2:14" x14ac:dyDescent="0.3">
      <c r="B20" s="1" t="s">
        <v>94</v>
      </c>
      <c r="C20" s="1">
        <v>97.385417982265366</v>
      </c>
      <c r="D20" s="1">
        <v>97.423862361818806</v>
      </c>
      <c r="E20" s="1">
        <v>97.383640040645858</v>
      </c>
      <c r="F20" s="1">
        <v>2.6145820177346324</v>
      </c>
      <c r="G20" s="1">
        <v>2.5761376381812013</v>
      </c>
      <c r="H20" s="1">
        <v>2.616359959354138</v>
      </c>
      <c r="I20" s="1">
        <v>51.200999928859162</v>
      </c>
      <c r="J20" s="1">
        <v>56.427909380246909</v>
      </c>
      <c r="K20" s="1">
        <v>56.492554434743845</v>
      </c>
    </row>
    <row r="21" spans="2:14" x14ac:dyDescent="0.3">
      <c r="B21" s="1" t="s">
        <v>87</v>
      </c>
      <c r="C21" s="1">
        <v>5.4068296217414928E-2</v>
      </c>
      <c r="D21" s="1">
        <v>5.2846214937329897E-2</v>
      </c>
      <c r="E21" s="1">
        <v>5.2237230336461611E-2</v>
      </c>
      <c r="F21" s="1">
        <v>99.945931703782591</v>
      </c>
      <c r="G21" s="1">
        <v>99.947153785062667</v>
      </c>
      <c r="H21" s="1">
        <v>99.947762769663541</v>
      </c>
      <c r="I21" s="1">
        <v>55.862565210616886</v>
      </c>
      <c r="J21" s="1">
        <v>58.136918909191273</v>
      </c>
      <c r="K21" s="1">
        <v>59.629712662298218</v>
      </c>
    </row>
    <row r="23" spans="2:14" x14ac:dyDescent="0.3">
      <c r="C23" s="25" t="s">
        <v>101</v>
      </c>
      <c r="D23" s="25"/>
      <c r="E23" s="25"/>
      <c r="F23" s="25"/>
      <c r="G23" s="25"/>
      <c r="H23" s="25"/>
      <c r="I23" s="25" t="s">
        <v>86</v>
      </c>
      <c r="J23" s="25"/>
      <c r="K23" s="25"/>
    </row>
    <row r="24" spans="2:14" x14ac:dyDescent="0.3">
      <c r="B24" s="3" t="s">
        <v>111</v>
      </c>
      <c r="C24" s="26" t="s">
        <v>112</v>
      </c>
      <c r="D24" s="26"/>
      <c r="E24" s="26"/>
      <c r="F24" s="26" t="s">
        <v>113</v>
      </c>
      <c r="G24" s="26"/>
      <c r="H24" s="26"/>
      <c r="I24" s="25"/>
      <c r="J24" s="25"/>
      <c r="K24" s="25"/>
    </row>
    <row r="25" spans="2:14" x14ac:dyDescent="0.3">
      <c r="C25" s="2" t="s">
        <v>102</v>
      </c>
      <c r="D25" s="2" t="s">
        <v>103</v>
      </c>
      <c r="E25" s="2" t="s">
        <v>104</v>
      </c>
      <c r="F25" s="2" t="s">
        <v>102</v>
      </c>
      <c r="G25" s="2" t="s">
        <v>103</v>
      </c>
      <c r="H25" s="2" t="s">
        <v>104</v>
      </c>
      <c r="I25" s="2" t="s">
        <v>102</v>
      </c>
      <c r="J25" s="2" t="s">
        <v>103</v>
      </c>
      <c r="K25" s="2" t="s">
        <v>104</v>
      </c>
    </row>
    <row r="26" spans="2:14" x14ac:dyDescent="0.3">
      <c r="B26" s="1" t="s">
        <v>90</v>
      </c>
      <c r="C26" s="1">
        <v>52.660007560557155</v>
      </c>
      <c r="D26" s="1">
        <v>52.970927590855929</v>
      </c>
      <c r="E26" s="1">
        <v>52.648251092025475</v>
      </c>
      <c r="F26" s="1">
        <v>47.339992439442845</v>
      </c>
      <c r="G26" s="1">
        <v>47.029072409144071</v>
      </c>
      <c r="H26" s="1">
        <v>47.351748907974525</v>
      </c>
      <c r="I26" s="1">
        <v>0.97987055706037363</v>
      </c>
      <c r="J26" s="1">
        <v>4.5638449183906733</v>
      </c>
      <c r="K26" s="1">
        <v>4.3136179705905056</v>
      </c>
    </row>
    <row r="27" spans="2:14" x14ac:dyDescent="0.3">
      <c r="B27" s="1" t="s">
        <v>94</v>
      </c>
      <c r="C27" s="1">
        <v>51.051777270695617</v>
      </c>
      <c r="D27" s="1">
        <v>50.689835381852632</v>
      </c>
      <c r="E27" s="1">
        <v>51.51470739240829</v>
      </c>
      <c r="F27" s="1">
        <v>48.948222729304383</v>
      </c>
      <c r="G27" s="1">
        <v>49.310164618147368</v>
      </c>
      <c r="H27" s="1">
        <v>48.48529260759171</v>
      </c>
      <c r="I27" s="1">
        <v>42.547916306796672</v>
      </c>
      <c r="J27" s="1">
        <v>37.394029159576462</v>
      </c>
      <c r="K27" s="1">
        <v>38.972012834035922</v>
      </c>
    </row>
    <row r="28" spans="2:14" x14ac:dyDescent="0.3">
      <c r="B28" s="1" t="s">
        <v>87</v>
      </c>
      <c r="C28" s="1">
        <v>0.18507825186180638</v>
      </c>
      <c r="D28" s="1">
        <v>0.22286370814118039</v>
      </c>
      <c r="E28" s="1">
        <v>0.22559610661886195</v>
      </c>
      <c r="F28" s="1">
        <v>99.814921748138204</v>
      </c>
      <c r="G28" s="1">
        <v>99.77713629185881</v>
      </c>
      <c r="H28" s="1">
        <v>99.774403893381134</v>
      </c>
      <c r="I28" s="1">
        <v>78.043110893861936</v>
      </c>
      <c r="J28" s="1">
        <v>79.399196586411065</v>
      </c>
      <c r="K28" s="1">
        <v>74.105810966264713</v>
      </c>
    </row>
    <row r="30" spans="2:14" x14ac:dyDescent="0.3">
      <c r="C30" s="25" t="s">
        <v>101</v>
      </c>
      <c r="D30" s="25"/>
      <c r="E30" s="25"/>
      <c r="F30" s="25"/>
      <c r="G30" s="25"/>
      <c r="H30" s="25"/>
      <c r="I30" s="25"/>
      <c r="J30" s="25"/>
      <c r="K30" s="25"/>
      <c r="L30" s="25" t="s">
        <v>86</v>
      </c>
      <c r="M30" s="25"/>
      <c r="N30" s="25"/>
    </row>
    <row r="31" spans="2:14" x14ac:dyDescent="0.3">
      <c r="B31" s="3" t="s">
        <v>114</v>
      </c>
      <c r="C31" s="26" t="s">
        <v>115</v>
      </c>
      <c r="D31" s="26"/>
      <c r="E31" s="26"/>
      <c r="F31" s="26" t="s">
        <v>116</v>
      </c>
      <c r="G31" s="26"/>
      <c r="H31" s="26"/>
      <c r="I31" s="26" t="s">
        <v>116</v>
      </c>
      <c r="J31" s="26"/>
      <c r="K31" s="26"/>
      <c r="L31" s="25"/>
      <c r="M31" s="25"/>
      <c r="N31" s="25"/>
    </row>
    <row r="32" spans="2:14" x14ac:dyDescent="0.3">
      <c r="C32" s="2" t="s">
        <v>102</v>
      </c>
      <c r="D32" s="2" t="s">
        <v>103</v>
      </c>
      <c r="E32" s="2" t="s">
        <v>104</v>
      </c>
      <c r="F32" s="2" t="s">
        <v>102</v>
      </c>
      <c r="G32" s="2" t="s">
        <v>103</v>
      </c>
      <c r="H32" s="2" t="s">
        <v>104</v>
      </c>
      <c r="I32" s="2" t="s">
        <v>102</v>
      </c>
      <c r="J32" s="2" t="s">
        <v>103</v>
      </c>
      <c r="K32" s="2" t="s">
        <v>104</v>
      </c>
      <c r="L32" s="2" t="s">
        <v>102</v>
      </c>
      <c r="M32" s="2" t="s">
        <v>103</v>
      </c>
      <c r="N32" s="2" t="s">
        <v>104</v>
      </c>
    </row>
    <row r="33" spans="2:14" x14ac:dyDescent="0.3">
      <c r="B33" s="1" t="s">
        <v>90</v>
      </c>
      <c r="C33" s="1">
        <v>60.285301632006764</v>
      </c>
      <c r="D33" s="1">
        <v>61.36225458912206</v>
      </c>
      <c r="E33" s="1">
        <v>61.653113563809079</v>
      </c>
      <c r="F33" s="1">
        <v>39.714698367993236</v>
      </c>
      <c r="G33" s="1">
        <v>38.637745410877947</v>
      </c>
      <c r="H33" s="1">
        <v>38.346886436190921</v>
      </c>
      <c r="I33" s="1">
        <v>0</v>
      </c>
      <c r="J33" s="1">
        <v>0</v>
      </c>
      <c r="K33" s="1">
        <v>0</v>
      </c>
      <c r="L33" s="1">
        <v>15.565311491272377</v>
      </c>
      <c r="M33" s="1">
        <v>15.629792078131821</v>
      </c>
      <c r="N33" s="1">
        <v>17.215796817755507</v>
      </c>
    </row>
    <row r="34" spans="2:14" x14ac:dyDescent="0.3">
      <c r="B34" s="1" t="s">
        <v>94</v>
      </c>
      <c r="C34" s="1">
        <v>98.445072739423225</v>
      </c>
      <c r="D34" s="1">
        <v>98.438508630960797</v>
      </c>
      <c r="E34" s="1">
        <v>98.409137269335559</v>
      </c>
      <c r="F34" s="1">
        <v>1.5549272605767748</v>
      </c>
      <c r="G34" s="1">
        <v>1.5614913690392025</v>
      </c>
      <c r="H34" s="1">
        <v>1.5908627306644472</v>
      </c>
      <c r="I34" s="1">
        <v>0</v>
      </c>
      <c r="J34" s="1">
        <v>0</v>
      </c>
      <c r="K34" s="1">
        <v>0</v>
      </c>
      <c r="L34" s="1">
        <v>99.429308628067886</v>
      </c>
      <c r="M34" s="1">
        <v>96.47428144110944</v>
      </c>
      <c r="N34" s="1">
        <v>99.445262252733031</v>
      </c>
    </row>
    <row r="35" spans="2:14" x14ac:dyDescent="0.3">
      <c r="B35" s="1" t="s">
        <v>87</v>
      </c>
      <c r="C35" s="1">
        <v>2.5059996995074356</v>
      </c>
      <c r="D35" s="1">
        <v>2.6036376694689283</v>
      </c>
      <c r="E35" s="1">
        <v>2.8007763524366238</v>
      </c>
      <c r="F35" s="1">
        <v>22.635211502097359</v>
      </c>
      <c r="G35" s="1">
        <v>22.569549592524208</v>
      </c>
      <c r="H35" s="1">
        <v>19.378385607815247</v>
      </c>
      <c r="I35" s="1">
        <v>74.85878879839521</v>
      </c>
      <c r="J35" s="1">
        <v>74.826812738006865</v>
      </c>
      <c r="K35" s="1">
        <v>77.820838039748125</v>
      </c>
      <c r="L35" s="1">
        <v>96.978185286566571</v>
      </c>
      <c r="M35" s="1">
        <v>99.621401966194895</v>
      </c>
      <c r="N35" s="1">
        <v>96.671606008505464</v>
      </c>
    </row>
    <row r="37" spans="2:14" x14ac:dyDescent="0.3">
      <c r="C37" s="25" t="s">
        <v>101</v>
      </c>
      <c r="D37" s="25"/>
      <c r="E37" s="25"/>
      <c r="F37" s="25"/>
      <c r="G37" s="25"/>
      <c r="H37" s="25"/>
      <c r="I37" s="25"/>
      <c r="J37" s="25"/>
      <c r="K37" s="25"/>
      <c r="L37" s="25" t="s">
        <v>86</v>
      </c>
      <c r="M37" s="25"/>
      <c r="N37" s="25"/>
    </row>
    <row r="38" spans="2:14" x14ac:dyDescent="0.3">
      <c r="B38" s="3" t="s">
        <v>117</v>
      </c>
      <c r="C38" s="26" t="s">
        <v>118</v>
      </c>
      <c r="D38" s="26"/>
      <c r="E38" s="26"/>
      <c r="F38" s="26" t="s">
        <v>119</v>
      </c>
      <c r="G38" s="26"/>
      <c r="H38" s="26"/>
      <c r="I38" s="26" t="s">
        <v>119</v>
      </c>
      <c r="J38" s="26"/>
      <c r="K38" s="26"/>
      <c r="L38" s="25"/>
      <c r="M38" s="25"/>
      <c r="N38" s="25"/>
    </row>
    <row r="39" spans="2:14" x14ac:dyDescent="0.3">
      <c r="C39" s="2" t="s">
        <v>102</v>
      </c>
      <c r="D39" s="2" t="s">
        <v>103</v>
      </c>
      <c r="E39" s="2" t="s">
        <v>104</v>
      </c>
      <c r="F39" s="2" t="s">
        <v>102</v>
      </c>
      <c r="G39" s="2" t="s">
        <v>103</v>
      </c>
      <c r="H39" s="2" t="s">
        <v>104</v>
      </c>
      <c r="I39" s="2" t="s">
        <v>102</v>
      </c>
      <c r="J39" s="2" t="s">
        <v>103</v>
      </c>
      <c r="K39" s="2" t="s">
        <v>104</v>
      </c>
      <c r="L39" s="2" t="s">
        <v>102</v>
      </c>
      <c r="M39" s="2" t="s">
        <v>103</v>
      </c>
      <c r="N39" s="2" t="s">
        <v>104</v>
      </c>
    </row>
    <row r="40" spans="2:14" x14ac:dyDescent="0.3">
      <c r="B40" s="1" t="s">
        <v>90</v>
      </c>
      <c r="C40" s="1">
        <v>97.746622073777814</v>
      </c>
      <c r="D40" s="1">
        <v>97.753167028144929</v>
      </c>
      <c r="E40" s="1">
        <v>97.763337108936369</v>
      </c>
      <c r="F40" s="1">
        <v>2.253377926222186</v>
      </c>
      <c r="G40" s="1">
        <v>2.2468329718550764</v>
      </c>
      <c r="H40" s="1">
        <v>2.2366628910636344</v>
      </c>
      <c r="I40" s="1">
        <v>0</v>
      </c>
      <c r="J40" s="1">
        <v>0</v>
      </c>
      <c r="K40" s="1">
        <v>0</v>
      </c>
      <c r="L40" s="1">
        <v>81.693867453489716</v>
      </c>
      <c r="M40" s="1">
        <v>82.399729145903564</v>
      </c>
      <c r="N40" s="1">
        <v>73.407675701220569</v>
      </c>
    </row>
    <row r="41" spans="2:14" x14ac:dyDescent="0.3">
      <c r="B41" s="1" t="s">
        <v>94</v>
      </c>
      <c r="C41" s="1">
        <v>92.597308502584625</v>
      </c>
      <c r="D41" s="1">
        <v>92.56218136587438</v>
      </c>
      <c r="E41" s="1">
        <v>92.386749908692835</v>
      </c>
      <c r="F41" s="1">
        <v>7.4026914974153728</v>
      </c>
      <c r="G41" s="1">
        <v>7.437818634125609</v>
      </c>
      <c r="H41" s="1">
        <v>7.6132500913071679</v>
      </c>
      <c r="I41" s="1">
        <v>0</v>
      </c>
      <c r="J41" s="1">
        <v>0</v>
      </c>
      <c r="K41" s="1">
        <v>0</v>
      </c>
      <c r="L41" s="1">
        <v>98.171422426331119</v>
      </c>
      <c r="M41" s="1">
        <v>99.391351118300847</v>
      </c>
      <c r="N41" s="1">
        <v>99.473156553569069</v>
      </c>
    </row>
    <row r="42" spans="2:14" x14ac:dyDescent="0.3">
      <c r="B42" s="1" t="s">
        <v>87</v>
      </c>
      <c r="C42" s="1">
        <v>0.64180673943978395</v>
      </c>
      <c r="D42" s="1">
        <v>0.61774470970530471</v>
      </c>
      <c r="E42" s="1">
        <v>0.66652174714596002</v>
      </c>
      <c r="F42" s="1">
        <v>56.339450289994964</v>
      </c>
      <c r="G42" s="1">
        <v>56.744709138826302</v>
      </c>
      <c r="H42" s="1">
        <v>53.88485948242662</v>
      </c>
      <c r="I42" s="1">
        <v>43.018742970565256</v>
      </c>
      <c r="J42" s="1">
        <v>42.637546151468399</v>
      </c>
      <c r="K42" s="1">
        <v>45.448618770427423</v>
      </c>
      <c r="L42" s="1">
        <v>92.991666698182996</v>
      </c>
      <c r="M42" s="1">
        <v>93.044975888361805</v>
      </c>
      <c r="N42" s="1">
        <v>91.084259927192349</v>
      </c>
    </row>
    <row r="44" spans="2:14" x14ac:dyDescent="0.3">
      <c r="C44" s="25" t="s">
        <v>101</v>
      </c>
      <c r="D44" s="25"/>
      <c r="E44" s="25"/>
      <c r="F44" s="25"/>
      <c r="G44" s="25"/>
      <c r="H44" s="25"/>
      <c r="I44" s="25" t="s">
        <v>86</v>
      </c>
      <c r="J44" s="25"/>
      <c r="K44" s="25"/>
    </row>
    <row r="45" spans="2:14" x14ac:dyDescent="0.3">
      <c r="B45" s="3" t="s">
        <v>120</v>
      </c>
      <c r="C45" s="26" t="s">
        <v>121</v>
      </c>
      <c r="D45" s="26"/>
      <c r="E45" s="26"/>
      <c r="F45" s="26" t="s">
        <v>122</v>
      </c>
      <c r="G45" s="26"/>
      <c r="H45" s="26"/>
      <c r="I45" s="25"/>
      <c r="J45" s="25"/>
      <c r="K45" s="25"/>
    </row>
    <row r="46" spans="2:14" x14ac:dyDescent="0.3">
      <c r="C46" s="2" t="s">
        <v>102</v>
      </c>
      <c r="D46" s="2" t="s">
        <v>103</v>
      </c>
      <c r="E46" s="2" t="s">
        <v>104</v>
      </c>
      <c r="F46" s="2" t="s">
        <v>102</v>
      </c>
      <c r="G46" s="2" t="s">
        <v>103</v>
      </c>
      <c r="H46" s="2" t="s">
        <v>104</v>
      </c>
      <c r="I46" s="2" t="s">
        <v>102</v>
      </c>
      <c r="J46" s="2" t="s">
        <v>103</v>
      </c>
      <c r="K46" s="2" t="s">
        <v>104</v>
      </c>
    </row>
    <row r="47" spans="2:14" x14ac:dyDescent="0.3">
      <c r="B47" s="1" t="s">
        <v>90</v>
      </c>
      <c r="C47" s="1">
        <v>0</v>
      </c>
      <c r="D47" s="1">
        <v>0</v>
      </c>
      <c r="E47" s="1">
        <v>0</v>
      </c>
      <c r="F47" s="1">
        <v>100</v>
      </c>
      <c r="G47" s="1">
        <v>100</v>
      </c>
      <c r="H47" s="1">
        <v>100</v>
      </c>
      <c r="I47" s="1">
        <v>6.9885064510860682</v>
      </c>
      <c r="J47" s="1">
        <v>6.7824867984103658</v>
      </c>
      <c r="K47" s="1">
        <v>11.172890273208745</v>
      </c>
    </row>
    <row r="48" spans="2:14" x14ac:dyDescent="0.3">
      <c r="B48" s="1" t="s">
        <v>94</v>
      </c>
      <c r="C48" s="1">
        <v>0</v>
      </c>
      <c r="D48" s="1">
        <v>0</v>
      </c>
      <c r="E48" s="1">
        <v>0</v>
      </c>
      <c r="F48" s="1">
        <v>100</v>
      </c>
      <c r="G48" s="1">
        <v>100</v>
      </c>
      <c r="H48" s="1">
        <v>100</v>
      </c>
      <c r="I48" s="1">
        <v>2.5282793992985075</v>
      </c>
      <c r="J48" s="1">
        <v>4.8544519882099495</v>
      </c>
      <c r="K48" s="1">
        <v>3.6110187583117521</v>
      </c>
    </row>
    <row r="49" spans="2:11" x14ac:dyDescent="0.3">
      <c r="B49" s="1" t="s">
        <v>87</v>
      </c>
      <c r="C49" s="1">
        <v>0</v>
      </c>
      <c r="D49" s="1">
        <v>0</v>
      </c>
      <c r="E49" s="1">
        <v>0</v>
      </c>
      <c r="F49" s="1">
        <v>100</v>
      </c>
      <c r="G49" s="1">
        <v>100</v>
      </c>
      <c r="H49" s="1">
        <v>100</v>
      </c>
      <c r="I49" s="1">
        <v>78.273979647387293</v>
      </c>
      <c r="J49" s="1">
        <v>76.807611620509704</v>
      </c>
      <c r="K49" s="1">
        <v>80.1062105799367</v>
      </c>
    </row>
    <row r="51" spans="2:11" x14ac:dyDescent="0.3">
      <c r="C51" s="25" t="s">
        <v>101</v>
      </c>
      <c r="D51" s="25"/>
      <c r="E51" s="25"/>
      <c r="F51" s="25"/>
      <c r="G51" s="25" t="s">
        <v>86</v>
      </c>
      <c r="H51" s="25"/>
    </row>
    <row r="52" spans="2:11" x14ac:dyDescent="0.3">
      <c r="B52" s="3" t="s">
        <v>123</v>
      </c>
      <c r="C52" s="26" t="s">
        <v>124</v>
      </c>
      <c r="D52" s="26"/>
      <c r="E52" s="26" t="s">
        <v>125</v>
      </c>
      <c r="F52" s="26"/>
      <c r="G52" s="25"/>
      <c r="H52" s="25"/>
    </row>
    <row r="53" spans="2:11" x14ac:dyDescent="0.3">
      <c r="C53" s="2" t="s">
        <v>102</v>
      </c>
      <c r="D53" s="2" t="s">
        <v>103</v>
      </c>
      <c r="E53" s="2" t="s">
        <v>102</v>
      </c>
      <c r="F53" s="2" t="s">
        <v>103</v>
      </c>
      <c r="G53" s="2" t="s">
        <v>102</v>
      </c>
      <c r="H53" s="2" t="s">
        <v>103</v>
      </c>
    </row>
    <row r="54" spans="2:11" x14ac:dyDescent="0.3">
      <c r="B54" s="1" t="s">
        <v>90</v>
      </c>
      <c r="C54" s="1">
        <v>57.758068435353117</v>
      </c>
      <c r="D54" s="1">
        <v>53.858211536798407</v>
      </c>
      <c r="E54" s="1">
        <v>42.24193156464689</v>
      </c>
      <c r="F54" s="1">
        <v>46.141788463201593</v>
      </c>
      <c r="G54" s="1">
        <v>0.54759795787852872</v>
      </c>
      <c r="H54" s="1">
        <v>5.7302670126694677</v>
      </c>
    </row>
    <row r="55" spans="2:11" x14ac:dyDescent="0.3">
      <c r="B55" s="1" t="s">
        <v>94</v>
      </c>
      <c r="C55" s="1">
        <v>97.732048750527952</v>
      </c>
      <c r="D55" s="1">
        <v>97.928033191298496</v>
      </c>
      <c r="E55" s="1">
        <v>2.2679512494720395</v>
      </c>
      <c r="F55" s="1">
        <v>2.0719668087015028</v>
      </c>
      <c r="G55" s="1">
        <v>72.040911958317437</v>
      </c>
      <c r="H55" s="1">
        <v>65.370701249564547</v>
      </c>
    </row>
    <row r="56" spans="2:11" x14ac:dyDescent="0.3">
      <c r="B56" s="1" t="s">
        <v>87</v>
      </c>
      <c r="C56" s="1">
        <v>0</v>
      </c>
      <c r="D56" s="1">
        <v>0</v>
      </c>
      <c r="E56" s="1">
        <v>100</v>
      </c>
      <c r="F56" s="1">
        <v>100</v>
      </c>
      <c r="G56" s="1">
        <v>77.463846787294472</v>
      </c>
      <c r="H56" s="1">
        <v>79.696419479387941</v>
      </c>
    </row>
    <row r="58" spans="2:11" x14ac:dyDescent="0.3">
      <c r="C58" s="25" t="s">
        <v>101</v>
      </c>
      <c r="D58" s="25"/>
      <c r="E58" s="25"/>
      <c r="F58" s="25"/>
      <c r="G58" s="25" t="s">
        <v>86</v>
      </c>
      <c r="H58" s="25"/>
    </row>
    <row r="59" spans="2:11" x14ac:dyDescent="0.3">
      <c r="B59" s="3" t="s">
        <v>126</v>
      </c>
      <c r="C59" s="26" t="s">
        <v>127</v>
      </c>
      <c r="D59" s="26"/>
      <c r="E59" s="26" t="s">
        <v>128</v>
      </c>
      <c r="F59" s="26"/>
      <c r="G59" s="25"/>
      <c r="H59" s="25"/>
    </row>
    <row r="60" spans="2:11" x14ac:dyDescent="0.3">
      <c r="C60" s="2" t="s">
        <v>102</v>
      </c>
      <c r="D60" s="2" t="s">
        <v>103</v>
      </c>
      <c r="E60" s="2" t="s">
        <v>102</v>
      </c>
      <c r="F60" s="2" t="s">
        <v>103</v>
      </c>
      <c r="G60" s="2" t="s">
        <v>102</v>
      </c>
      <c r="H60" s="2" t="s">
        <v>103</v>
      </c>
    </row>
    <row r="61" spans="2:11" x14ac:dyDescent="0.3">
      <c r="B61" s="1" t="s">
        <v>90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</row>
    <row r="62" spans="2:11" x14ac:dyDescent="0.3">
      <c r="B62" s="1" t="s">
        <v>94</v>
      </c>
      <c r="C62" s="1">
        <v>98.313295266486193</v>
      </c>
      <c r="D62" s="1">
        <v>98.754009212940346</v>
      </c>
      <c r="E62" s="1">
        <v>1.6867047335138039</v>
      </c>
      <c r="F62" s="1">
        <v>1.2459907870596465</v>
      </c>
      <c r="G62" s="1">
        <v>5.1079266740631732</v>
      </c>
      <c r="H62" s="1">
        <v>1.4030845920095025</v>
      </c>
    </row>
    <row r="63" spans="2:11" x14ac:dyDescent="0.3">
      <c r="B63" s="1" t="s">
        <v>87</v>
      </c>
      <c r="C63" s="1">
        <v>0</v>
      </c>
      <c r="D63" s="1">
        <v>0</v>
      </c>
      <c r="E63" s="1">
        <v>100</v>
      </c>
      <c r="F63" s="1">
        <v>100</v>
      </c>
      <c r="G63" s="1">
        <v>62.118337266668213</v>
      </c>
      <c r="H63" s="1">
        <v>63.192402493916255</v>
      </c>
    </row>
    <row r="65" spans="2:8" x14ac:dyDescent="0.3">
      <c r="C65" s="25" t="s">
        <v>101</v>
      </c>
      <c r="D65" s="25"/>
      <c r="E65" s="25"/>
      <c r="F65" s="25"/>
      <c r="G65" s="25" t="s">
        <v>86</v>
      </c>
      <c r="H65" s="25"/>
    </row>
    <row r="66" spans="2:8" x14ac:dyDescent="0.3">
      <c r="B66" s="3" t="s">
        <v>129</v>
      </c>
      <c r="C66" s="26" t="s">
        <v>131</v>
      </c>
      <c r="D66" s="26"/>
      <c r="E66" s="26" t="s">
        <v>132</v>
      </c>
      <c r="F66" s="26"/>
      <c r="G66" s="25"/>
      <c r="H66" s="25"/>
    </row>
    <row r="67" spans="2:8" x14ac:dyDescent="0.3">
      <c r="C67" s="2" t="s">
        <v>102</v>
      </c>
      <c r="D67" s="2" t="s">
        <v>103</v>
      </c>
      <c r="E67" s="2" t="s">
        <v>102</v>
      </c>
      <c r="F67" s="2" t="s">
        <v>103</v>
      </c>
      <c r="G67" s="2" t="s">
        <v>102</v>
      </c>
      <c r="H67" s="2" t="s">
        <v>103</v>
      </c>
    </row>
    <row r="68" spans="2:8" x14ac:dyDescent="0.3">
      <c r="B68" s="1" t="s">
        <v>90</v>
      </c>
      <c r="C68" s="1">
        <v>70.51419054494194</v>
      </c>
      <c r="D68" s="1">
        <v>70.350144645843699</v>
      </c>
      <c r="E68" s="1">
        <v>29.485809455058064</v>
      </c>
      <c r="F68" s="1">
        <v>29.649855354156308</v>
      </c>
      <c r="G68" s="1">
        <v>7.1704773925818994</v>
      </c>
      <c r="H68" s="1">
        <v>5.5988096473926436</v>
      </c>
    </row>
    <row r="69" spans="2:8" x14ac:dyDescent="0.3">
      <c r="B69" s="1" t="s">
        <v>94</v>
      </c>
      <c r="C69" s="1">
        <v>99.800324011424081</v>
      </c>
      <c r="D69" s="1">
        <v>99.775709577826802</v>
      </c>
      <c r="E69" s="1">
        <v>0.19967598857592578</v>
      </c>
      <c r="F69" s="1">
        <v>0.22429042217319964</v>
      </c>
      <c r="G69" s="1">
        <v>99.18142237564085</v>
      </c>
      <c r="H69" s="1">
        <v>99.000401980083382</v>
      </c>
    </row>
    <row r="70" spans="2:8" x14ac:dyDescent="0.3">
      <c r="B70" s="1" t="s">
        <v>87</v>
      </c>
      <c r="C70" s="1">
        <v>0.46249651707943484</v>
      </c>
      <c r="D70" s="1">
        <v>7.386756024691242E-2</v>
      </c>
      <c r="E70" s="1">
        <v>99.53750348292057</v>
      </c>
      <c r="F70" s="1">
        <v>99.92613243975309</v>
      </c>
      <c r="G70" s="1">
        <v>80.790025072820484</v>
      </c>
      <c r="H70" s="1">
        <v>76.353950093024594</v>
      </c>
    </row>
    <row r="72" spans="2:8" x14ac:dyDescent="0.3">
      <c r="C72" s="25" t="s">
        <v>101</v>
      </c>
      <c r="D72" s="25"/>
      <c r="E72" s="25"/>
      <c r="F72" s="25"/>
      <c r="G72" s="25" t="s">
        <v>86</v>
      </c>
      <c r="H72" s="25"/>
    </row>
    <row r="73" spans="2:8" x14ac:dyDescent="0.3">
      <c r="B73" s="3" t="s">
        <v>130</v>
      </c>
      <c r="C73" s="26" t="s">
        <v>133</v>
      </c>
      <c r="D73" s="26"/>
      <c r="E73" s="26" t="s">
        <v>134</v>
      </c>
      <c r="F73" s="26"/>
      <c r="G73" s="25"/>
      <c r="H73" s="25"/>
    </row>
    <row r="74" spans="2:8" x14ac:dyDescent="0.3">
      <c r="C74" s="2" t="s">
        <v>102</v>
      </c>
      <c r="D74" s="2" t="s">
        <v>103</v>
      </c>
      <c r="E74" s="2" t="s">
        <v>102</v>
      </c>
      <c r="F74" s="2" t="s">
        <v>103</v>
      </c>
      <c r="G74" s="2" t="s">
        <v>102</v>
      </c>
      <c r="H74" s="2" t="s">
        <v>103</v>
      </c>
    </row>
    <row r="75" spans="2:8" x14ac:dyDescent="0.3">
      <c r="B75" s="1" t="s">
        <v>90</v>
      </c>
      <c r="C75" s="1">
        <v>16.299046504255372</v>
      </c>
      <c r="D75" s="1">
        <v>15.83455580695691</v>
      </c>
      <c r="E75" s="1">
        <v>83.700953495744628</v>
      </c>
      <c r="F75" s="1">
        <v>84.165444193043086</v>
      </c>
      <c r="G75" s="1">
        <v>1.8163491656958459</v>
      </c>
      <c r="H75" s="1">
        <v>0.78191198795086436</v>
      </c>
    </row>
    <row r="76" spans="2:8" x14ac:dyDescent="0.3">
      <c r="B76" s="1" t="s">
        <v>94</v>
      </c>
      <c r="C76" s="1">
        <v>86.080250370838044</v>
      </c>
      <c r="D76" s="1">
        <v>85.977567875122034</v>
      </c>
      <c r="E76" s="1">
        <v>13.919749629161956</v>
      </c>
      <c r="F76" s="1">
        <v>14.022432124877964</v>
      </c>
      <c r="G76" s="1">
        <v>6.9863738413393026</v>
      </c>
      <c r="H76" s="1">
        <v>5.1322489895224779</v>
      </c>
    </row>
    <row r="77" spans="2:8" x14ac:dyDescent="0.3">
      <c r="B77" s="1" t="s">
        <v>87</v>
      </c>
      <c r="C77" s="1">
        <v>0.15006831810645693</v>
      </c>
      <c r="D77" s="1">
        <v>0.13220404082471574</v>
      </c>
      <c r="E77" s="1">
        <v>99.849931681893551</v>
      </c>
      <c r="F77" s="1">
        <v>99.867795959175282</v>
      </c>
      <c r="G77" s="1">
        <v>20.862888198239162</v>
      </c>
      <c r="H77" s="1">
        <v>31.2082260351762</v>
      </c>
    </row>
    <row r="79" spans="2:8" x14ac:dyDescent="0.3">
      <c r="C79" s="25" t="s">
        <v>101</v>
      </c>
      <c r="D79" s="25"/>
      <c r="E79" s="25"/>
      <c r="F79" s="25"/>
      <c r="G79" s="25" t="s">
        <v>86</v>
      </c>
      <c r="H79" s="25"/>
    </row>
    <row r="80" spans="2:8" x14ac:dyDescent="0.3">
      <c r="B80" s="3" t="s">
        <v>135</v>
      </c>
      <c r="C80" s="26" t="s">
        <v>136</v>
      </c>
      <c r="D80" s="26"/>
      <c r="E80" s="26" t="s">
        <v>137</v>
      </c>
      <c r="F80" s="26"/>
      <c r="G80" s="25"/>
      <c r="H80" s="25"/>
    </row>
    <row r="81" spans="2:8" x14ac:dyDescent="0.3">
      <c r="C81" s="2" t="s">
        <v>102</v>
      </c>
      <c r="D81" s="2" t="s">
        <v>103</v>
      </c>
      <c r="E81" s="2" t="s">
        <v>102</v>
      </c>
      <c r="F81" s="2" t="s">
        <v>103</v>
      </c>
      <c r="G81" s="2" t="s">
        <v>102</v>
      </c>
      <c r="H81" s="2" t="s">
        <v>103</v>
      </c>
    </row>
    <row r="82" spans="2:8" x14ac:dyDescent="0.3">
      <c r="B82" s="1" t="s">
        <v>90</v>
      </c>
      <c r="C82" s="1">
        <v>97.14743328848391</v>
      </c>
      <c r="D82" s="1">
        <v>97.030558756831113</v>
      </c>
      <c r="E82" s="1">
        <v>2.852566711516086</v>
      </c>
      <c r="F82" s="1">
        <v>2.969441243168891</v>
      </c>
      <c r="G82" s="1">
        <v>0.48633046662614632</v>
      </c>
      <c r="H82" s="1">
        <v>0.25338710695171973</v>
      </c>
    </row>
    <row r="83" spans="2:8" x14ac:dyDescent="0.3">
      <c r="B83" s="1" t="s">
        <v>94</v>
      </c>
      <c r="C83" s="1">
        <v>100</v>
      </c>
      <c r="D83" s="1">
        <v>100</v>
      </c>
      <c r="E83" s="1">
        <v>0</v>
      </c>
      <c r="F83" s="1">
        <v>0</v>
      </c>
      <c r="G83" s="1">
        <v>15.749699838171738</v>
      </c>
      <c r="H83" s="1">
        <v>33.65005239957074</v>
      </c>
    </row>
    <row r="84" spans="2:8" x14ac:dyDescent="0.3">
      <c r="B84" s="1" t="s">
        <v>87</v>
      </c>
      <c r="C84" s="1">
        <v>20.360161451685236</v>
      </c>
      <c r="D84" s="1">
        <v>22.494491652340177</v>
      </c>
      <c r="E84" s="1">
        <v>79.639838548314756</v>
      </c>
      <c r="F84" s="1">
        <v>77.505508347659827</v>
      </c>
      <c r="G84" s="1">
        <v>14.523478325356123</v>
      </c>
      <c r="H84" s="1">
        <v>11.831543348962493</v>
      </c>
    </row>
    <row r="86" spans="2:8" x14ac:dyDescent="0.3">
      <c r="C86" s="25" t="s">
        <v>101</v>
      </c>
      <c r="D86" s="25"/>
      <c r="E86" s="25"/>
      <c r="F86" s="25"/>
      <c r="G86" s="25" t="s">
        <v>86</v>
      </c>
      <c r="H86" s="25"/>
    </row>
    <row r="87" spans="2:8" x14ac:dyDescent="0.3">
      <c r="B87" s="3" t="s">
        <v>138</v>
      </c>
      <c r="C87" s="26" t="s">
        <v>139</v>
      </c>
      <c r="D87" s="26"/>
      <c r="E87" s="26" t="s">
        <v>140</v>
      </c>
      <c r="F87" s="26"/>
      <c r="G87" s="25"/>
      <c r="H87" s="25"/>
    </row>
    <row r="88" spans="2:8" x14ac:dyDescent="0.3">
      <c r="C88" s="2" t="s">
        <v>102</v>
      </c>
      <c r="D88" s="2" t="s">
        <v>103</v>
      </c>
      <c r="E88" s="2" t="s">
        <v>102</v>
      </c>
      <c r="F88" s="2" t="s">
        <v>103</v>
      </c>
      <c r="G88" s="2" t="s">
        <v>102</v>
      </c>
      <c r="H88" s="2" t="s">
        <v>103</v>
      </c>
    </row>
    <row r="89" spans="2:8" x14ac:dyDescent="0.3">
      <c r="B89" s="1" t="s">
        <v>90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</row>
    <row r="90" spans="2:8" x14ac:dyDescent="0.3">
      <c r="B90" s="1" t="s">
        <v>94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</row>
    <row r="91" spans="2:8" x14ac:dyDescent="0.3">
      <c r="B91" s="1" t="s">
        <v>87</v>
      </c>
      <c r="C91" s="1">
        <v>0</v>
      </c>
      <c r="D91" s="1">
        <v>0</v>
      </c>
      <c r="E91" s="1">
        <v>100</v>
      </c>
      <c r="F91" s="1">
        <v>100</v>
      </c>
      <c r="G91" s="1">
        <v>26.249093370308245</v>
      </c>
      <c r="H91" s="1">
        <v>16.909758105139616</v>
      </c>
    </row>
    <row r="93" spans="2:8" x14ac:dyDescent="0.3">
      <c r="C93" s="25" t="s">
        <v>101</v>
      </c>
      <c r="D93" s="25"/>
      <c r="E93" s="25"/>
      <c r="F93" s="25"/>
      <c r="G93" s="25" t="s">
        <v>86</v>
      </c>
      <c r="H93" s="25"/>
    </row>
    <row r="94" spans="2:8" x14ac:dyDescent="0.3">
      <c r="B94" s="3" t="s">
        <v>141</v>
      </c>
      <c r="C94" s="26" t="s">
        <v>142</v>
      </c>
      <c r="D94" s="26"/>
      <c r="E94" s="26" t="s">
        <v>143</v>
      </c>
      <c r="F94" s="26"/>
      <c r="G94" s="25"/>
      <c r="H94" s="25"/>
    </row>
    <row r="95" spans="2:8" x14ac:dyDescent="0.3">
      <c r="C95" s="2" t="s">
        <v>102</v>
      </c>
      <c r="D95" s="2" t="s">
        <v>103</v>
      </c>
      <c r="E95" s="2" t="s">
        <v>102</v>
      </c>
      <c r="F95" s="2" t="s">
        <v>103</v>
      </c>
      <c r="G95" s="2" t="s">
        <v>102</v>
      </c>
      <c r="H95" s="2" t="s">
        <v>103</v>
      </c>
    </row>
    <row r="96" spans="2:8" x14ac:dyDescent="0.3">
      <c r="B96" s="1" t="s">
        <v>90</v>
      </c>
      <c r="C96" s="1">
        <v>10.3973061179334</v>
      </c>
      <c r="D96" s="1">
        <v>9.5473969037867263</v>
      </c>
      <c r="E96" s="1">
        <v>89.602693882066603</v>
      </c>
      <c r="F96" s="1">
        <v>90.452603096213281</v>
      </c>
      <c r="G96" s="1">
        <v>1.2857546820960128</v>
      </c>
      <c r="H96" s="1">
        <v>1.4683519773463871</v>
      </c>
    </row>
    <row r="97" spans="2:8" x14ac:dyDescent="0.3">
      <c r="B97" s="1" t="s">
        <v>94</v>
      </c>
      <c r="C97" s="1">
        <v>44.736757675895923</v>
      </c>
      <c r="D97" s="1">
        <v>44.25657135894356</v>
      </c>
      <c r="E97" s="1">
        <v>55.263242324104098</v>
      </c>
      <c r="F97" s="1">
        <v>55.74342864105644</v>
      </c>
      <c r="G97" s="1">
        <v>24.709681374245356</v>
      </c>
      <c r="H97" s="1">
        <v>22.2035265758756</v>
      </c>
    </row>
    <row r="98" spans="2:8" x14ac:dyDescent="0.3">
      <c r="B98" s="1" t="s">
        <v>87</v>
      </c>
      <c r="C98" s="1">
        <v>0.40704523146848481</v>
      </c>
      <c r="D98" s="1">
        <v>0.25525904795392962</v>
      </c>
      <c r="E98" s="1">
        <v>99.592954768531513</v>
      </c>
      <c r="F98" s="1">
        <v>99.744740952046072</v>
      </c>
      <c r="G98" s="1">
        <v>83.726179200044299</v>
      </c>
      <c r="H98" s="1">
        <v>85.161606713822152</v>
      </c>
    </row>
    <row r="100" spans="2:8" x14ac:dyDescent="0.3">
      <c r="C100" s="25" t="s">
        <v>101</v>
      </c>
      <c r="D100" s="25"/>
      <c r="E100" s="25"/>
      <c r="F100" s="25"/>
      <c r="G100" s="25" t="s">
        <v>86</v>
      </c>
      <c r="H100" s="25"/>
    </row>
    <row r="101" spans="2:8" x14ac:dyDescent="0.3">
      <c r="B101" s="3" t="s">
        <v>144</v>
      </c>
      <c r="C101" s="26" t="s">
        <v>145</v>
      </c>
      <c r="D101" s="26"/>
      <c r="E101" s="26" t="s">
        <v>146</v>
      </c>
      <c r="F101" s="26"/>
      <c r="G101" s="25"/>
      <c r="H101" s="25"/>
    </row>
    <row r="102" spans="2:8" x14ac:dyDescent="0.3">
      <c r="C102" s="2" t="s">
        <v>102</v>
      </c>
      <c r="D102" s="2" t="s">
        <v>103</v>
      </c>
      <c r="E102" s="2" t="s">
        <v>102</v>
      </c>
      <c r="F102" s="2" t="s">
        <v>103</v>
      </c>
      <c r="G102" s="2" t="s">
        <v>102</v>
      </c>
      <c r="H102" s="2" t="s">
        <v>103</v>
      </c>
    </row>
    <row r="103" spans="2:8" x14ac:dyDescent="0.3">
      <c r="B103" s="1" t="s">
        <v>90</v>
      </c>
      <c r="C103" s="1">
        <v>32.66696555809969</v>
      </c>
      <c r="D103" s="1">
        <v>25.271538691096236</v>
      </c>
      <c r="E103" s="1">
        <v>67.33303444190031</v>
      </c>
      <c r="F103" s="1">
        <v>74.728461308903775</v>
      </c>
      <c r="G103" s="1">
        <v>1.8866534733055842</v>
      </c>
      <c r="H103" s="1">
        <v>1.6591616652247072</v>
      </c>
    </row>
    <row r="104" spans="2:8" x14ac:dyDescent="0.3">
      <c r="B104" s="1" t="s">
        <v>94</v>
      </c>
      <c r="C104" s="1">
        <v>97.647780544565251</v>
      </c>
      <c r="D104" s="1">
        <v>97.839424413050153</v>
      </c>
      <c r="E104" s="1">
        <v>2.3522194554347529</v>
      </c>
      <c r="F104" s="1">
        <v>2.1605755869498395</v>
      </c>
      <c r="G104" s="1">
        <v>69.648925456374471</v>
      </c>
      <c r="H104" s="1">
        <v>67.3968715157378</v>
      </c>
    </row>
    <row r="105" spans="2:8" x14ac:dyDescent="0.3">
      <c r="B105" s="1" t="s">
        <v>87</v>
      </c>
      <c r="C105" s="1">
        <v>0.88804628424815713</v>
      </c>
      <c r="D105" s="1">
        <v>1.6939302123645779</v>
      </c>
      <c r="E105" s="1">
        <v>99.111953715751838</v>
      </c>
      <c r="F105" s="1">
        <v>98.306069787635423</v>
      </c>
      <c r="G105" s="1">
        <v>54.270073324204702</v>
      </c>
      <c r="H105" s="1">
        <v>54.158435008504156</v>
      </c>
    </row>
    <row r="107" spans="2:8" x14ac:dyDescent="0.3">
      <c r="C107" s="25" t="s">
        <v>101</v>
      </c>
      <c r="D107" s="25"/>
      <c r="E107" s="25"/>
      <c r="F107" s="25"/>
      <c r="G107" s="25" t="s">
        <v>86</v>
      </c>
      <c r="H107" s="25"/>
    </row>
    <row r="108" spans="2:8" x14ac:dyDescent="0.3">
      <c r="B108" s="3" t="s">
        <v>147</v>
      </c>
      <c r="C108" s="26" t="s">
        <v>148</v>
      </c>
      <c r="D108" s="26"/>
      <c r="E108" s="26" t="s">
        <v>149</v>
      </c>
      <c r="F108" s="26"/>
      <c r="G108" s="25"/>
      <c r="H108" s="25"/>
    </row>
    <row r="109" spans="2:8" x14ac:dyDescent="0.3">
      <c r="C109" s="2" t="s">
        <v>102</v>
      </c>
      <c r="D109" s="2" t="s">
        <v>103</v>
      </c>
      <c r="E109" s="2" t="s">
        <v>102</v>
      </c>
      <c r="F109" s="2" t="s">
        <v>103</v>
      </c>
      <c r="G109" s="2" t="s">
        <v>102</v>
      </c>
      <c r="H109" s="2" t="s">
        <v>103</v>
      </c>
    </row>
    <row r="110" spans="2:8" x14ac:dyDescent="0.3">
      <c r="B110" s="1" t="s">
        <v>90</v>
      </c>
      <c r="C110" s="1">
        <v>55.405563575357966</v>
      </c>
      <c r="D110" s="1">
        <v>55.687550854353127</v>
      </c>
      <c r="E110" s="1">
        <v>44.594436424642034</v>
      </c>
      <c r="F110" s="1">
        <v>44.312449145646866</v>
      </c>
      <c r="G110" s="1">
        <v>0.5845661901242073</v>
      </c>
      <c r="H110" s="1">
        <v>0.61844675650683856</v>
      </c>
    </row>
    <row r="111" spans="2:8" x14ac:dyDescent="0.3">
      <c r="B111" s="1" t="s">
        <v>94</v>
      </c>
      <c r="C111" s="1">
        <v>97.163745308996127</v>
      </c>
      <c r="D111" s="1">
        <v>97.155520623913219</v>
      </c>
      <c r="E111" s="1">
        <v>2.8362546910038726</v>
      </c>
      <c r="F111" s="1">
        <v>2.8444793760867881</v>
      </c>
      <c r="G111" s="1">
        <v>13.121160427707713</v>
      </c>
      <c r="H111" s="1">
        <v>12.580379158935429</v>
      </c>
    </row>
    <row r="112" spans="2:8" x14ac:dyDescent="0.3">
      <c r="B112" s="1" t="s">
        <v>87</v>
      </c>
      <c r="C112" s="1">
        <v>0</v>
      </c>
      <c r="D112" s="1">
        <v>0</v>
      </c>
      <c r="E112" s="1">
        <v>100</v>
      </c>
      <c r="F112" s="1">
        <v>100</v>
      </c>
      <c r="G112" s="1">
        <v>8.7610297111468114</v>
      </c>
      <c r="H112" s="1">
        <v>9.978428384625861</v>
      </c>
    </row>
    <row r="114" spans="2:11" x14ac:dyDescent="0.3">
      <c r="C114" s="25" t="s">
        <v>101</v>
      </c>
      <c r="D114" s="25"/>
      <c r="E114" s="25"/>
      <c r="F114" s="25"/>
      <c r="G114" s="25" t="s">
        <v>86</v>
      </c>
      <c r="H114" s="25"/>
    </row>
    <row r="115" spans="2:11" x14ac:dyDescent="0.3">
      <c r="B115" s="3" t="s">
        <v>150</v>
      </c>
      <c r="C115" s="26" t="s">
        <v>151</v>
      </c>
      <c r="D115" s="26"/>
      <c r="E115" s="26" t="s">
        <v>152</v>
      </c>
      <c r="F115" s="26"/>
      <c r="G115" s="25"/>
      <c r="H115" s="25"/>
    </row>
    <row r="116" spans="2:11" x14ac:dyDescent="0.3">
      <c r="C116" s="2" t="s">
        <v>102</v>
      </c>
      <c r="D116" s="2" t="s">
        <v>103</v>
      </c>
      <c r="E116" s="2" t="s">
        <v>102</v>
      </c>
      <c r="F116" s="2" t="s">
        <v>103</v>
      </c>
      <c r="G116" s="2" t="s">
        <v>102</v>
      </c>
      <c r="H116" s="2" t="s">
        <v>103</v>
      </c>
    </row>
    <row r="117" spans="2:11" x14ac:dyDescent="0.3">
      <c r="B117" s="1" t="s">
        <v>90</v>
      </c>
      <c r="C117" s="1">
        <v>60.160192207151375</v>
      </c>
      <c r="D117" s="1">
        <v>56.327312898460072</v>
      </c>
      <c r="E117" s="1">
        <v>39.839807792848625</v>
      </c>
      <c r="F117" s="1">
        <v>43.672687101539935</v>
      </c>
      <c r="G117" s="1">
        <v>2.6246616562544984</v>
      </c>
      <c r="H117" s="1">
        <v>1.3489660698305923</v>
      </c>
    </row>
    <row r="118" spans="2:11" x14ac:dyDescent="0.3">
      <c r="B118" s="1" t="s">
        <v>94</v>
      </c>
      <c r="C118" s="1">
        <v>98.350241645686566</v>
      </c>
      <c r="D118" s="1">
        <v>97.701545554755285</v>
      </c>
      <c r="E118" s="1">
        <v>1.6497583543134404</v>
      </c>
      <c r="F118" s="1">
        <v>2.2984544452447149</v>
      </c>
      <c r="G118" s="1">
        <v>20.527019350561197</v>
      </c>
      <c r="H118" s="1">
        <v>11.864506814185155</v>
      </c>
    </row>
    <row r="119" spans="2:11" x14ac:dyDescent="0.3">
      <c r="B119" s="1" t="s">
        <v>87</v>
      </c>
      <c r="C119" s="1">
        <v>2.355982133463411</v>
      </c>
      <c r="D119" s="1">
        <v>2.295355328574455</v>
      </c>
      <c r="E119" s="1">
        <v>97.644017866536586</v>
      </c>
      <c r="F119" s="1">
        <v>97.704644671425541</v>
      </c>
      <c r="G119" s="1">
        <v>7.6190397899290909</v>
      </c>
      <c r="H119" s="1">
        <v>9.3914963022513973</v>
      </c>
    </row>
    <row r="121" spans="2:11" x14ac:dyDescent="0.3">
      <c r="C121" s="25" t="s">
        <v>101</v>
      </c>
      <c r="D121" s="25"/>
      <c r="E121" s="25"/>
      <c r="F121" s="25"/>
      <c r="G121" s="25" t="s">
        <v>86</v>
      </c>
      <c r="H121" s="25"/>
    </row>
    <row r="122" spans="2:11" x14ac:dyDescent="0.3">
      <c r="B122" s="3" t="s">
        <v>153</v>
      </c>
      <c r="C122" s="26" t="s">
        <v>154</v>
      </c>
      <c r="D122" s="26"/>
      <c r="E122" s="26" t="s">
        <v>155</v>
      </c>
      <c r="F122" s="26"/>
      <c r="G122" s="25"/>
      <c r="H122" s="25"/>
    </row>
    <row r="123" spans="2:11" x14ac:dyDescent="0.3">
      <c r="C123" s="2" t="s">
        <v>102</v>
      </c>
      <c r="D123" s="2" t="s">
        <v>103</v>
      </c>
      <c r="E123" s="2" t="s">
        <v>102</v>
      </c>
      <c r="F123" s="2" t="s">
        <v>103</v>
      </c>
      <c r="G123" s="2" t="s">
        <v>102</v>
      </c>
      <c r="H123" s="2" t="s">
        <v>103</v>
      </c>
    </row>
    <row r="124" spans="2:11" x14ac:dyDescent="0.3">
      <c r="B124" s="1" t="s">
        <v>90</v>
      </c>
      <c r="C124" s="1">
        <v>0</v>
      </c>
      <c r="D124" s="1">
        <v>0</v>
      </c>
      <c r="E124" s="1">
        <v>100</v>
      </c>
      <c r="F124" s="1">
        <v>100</v>
      </c>
      <c r="G124" s="1">
        <v>7.6265612060917753</v>
      </c>
      <c r="H124" s="1">
        <v>8.5894092114778378</v>
      </c>
    </row>
    <row r="125" spans="2:11" x14ac:dyDescent="0.3">
      <c r="B125" s="1" t="s">
        <v>94</v>
      </c>
      <c r="C125" s="1">
        <v>84.045156880470969</v>
      </c>
      <c r="D125" s="1">
        <v>83.1943696178284</v>
      </c>
      <c r="E125" s="1">
        <v>15.954843119529027</v>
      </c>
      <c r="F125" s="1">
        <v>16.805630382171596</v>
      </c>
      <c r="G125" s="1">
        <v>1.6035571080431472</v>
      </c>
      <c r="H125" s="1">
        <v>1.9180543319485333</v>
      </c>
    </row>
    <row r="126" spans="2:11" x14ac:dyDescent="0.3">
      <c r="B126" s="1" t="s">
        <v>87</v>
      </c>
      <c r="C126" s="1">
        <v>0.10101763137438878</v>
      </c>
      <c r="D126" s="1">
        <v>9.2046502109263753E-2</v>
      </c>
      <c r="E126" s="1">
        <v>99.89898236862561</v>
      </c>
      <c r="F126" s="1">
        <v>99.90795349789073</v>
      </c>
      <c r="G126" s="1">
        <v>25.727166393906575</v>
      </c>
      <c r="H126" s="1">
        <v>22.1086110718017</v>
      </c>
    </row>
    <row r="128" spans="2:11" x14ac:dyDescent="0.3">
      <c r="C128" s="25" t="s">
        <v>101</v>
      </c>
      <c r="D128" s="25"/>
      <c r="E128" s="25"/>
      <c r="F128" s="25"/>
      <c r="G128" s="25"/>
      <c r="H128" s="25"/>
      <c r="I128" s="25" t="s">
        <v>86</v>
      </c>
      <c r="J128" s="25"/>
      <c r="K128" s="25"/>
    </row>
    <row r="129" spans="2:11" x14ac:dyDescent="0.3">
      <c r="B129" s="3" t="s">
        <v>156</v>
      </c>
      <c r="C129" s="26" t="s">
        <v>157</v>
      </c>
      <c r="D129" s="26"/>
      <c r="E129" s="26"/>
      <c r="F129" s="26" t="s">
        <v>158</v>
      </c>
      <c r="G129" s="26"/>
      <c r="H129" s="26"/>
      <c r="I129" s="25"/>
      <c r="J129" s="25"/>
      <c r="K129" s="25"/>
    </row>
    <row r="130" spans="2:11" x14ac:dyDescent="0.3">
      <c r="C130" s="2" t="s">
        <v>102</v>
      </c>
      <c r="D130" s="2" t="s">
        <v>103</v>
      </c>
      <c r="E130" s="2" t="s">
        <v>104</v>
      </c>
      <c r="F130" s="2" t="s">
        <v>102</v>
      </c>
      <c r="G130" s="2" t="s">
        <v>103</v>
      </c>
      <c r="H130" s="2" t="s">
        <v>104</v>
      </c>
      <c r="I130" s="2" t="s">
        <v>102</v>
      </c>
      <c r="J130" s="2" t="s">
        <v>103</v>
      </c>
      <c r="K130" s="2" t="s">
        <v>104</v>
      </c>
    </row>
    <row r="131" spans="2:11" x14ac:dyDescent="0.3">
      <c r="B131" s="1" t="s">
        <v>90</v>
      </c>
      <c r="C131" s="1">
        <v>0</v>
      </c>
      <c r="D131" s="1">
        <v>0</v>
      </c>
      <c r="E131" s="1">
        <v>0</v>
      </c>
      <c r="F131" s="1">
        <v>100</v>
      </c>
      <c r="G131" s="1">
        <v>100</v>
      </c>
      <c r="H131" s="1">
        <v>100</v>
      </c>
      <c r="I131" s="1">
        <v>0.39735201995103425</v>
      </c>
      <c r="J131" s="1">
        <v>1.5312874708781465</v>
      </c>
      <c r="K131" s="1">
        <v>4.0700109876582609</v>
      </c>
    </row>
    <row r="132" spans="2:11" x14ac:dyDescent="0.3">
      <c r="B132" s="1" t="s">
        <v>94</v>
      </c>
      <c r="C132" s="1">
        <v>0</v>
      </c>
      <c r="D132" s="1">
        <v>0</v>
      </c>
      <c r="E132" s="1">
        <v>0</v>
      </c>
      <c r="F132" s="1">
        <v>100</v>
      </c>
      <c r="G132" s="1">
        <v>100</v>
      </c>
      <c r="H132" s="1">
        <v>100</v>
      </c>
      <c r="I132" s="1">
        <v>0.80929346165945559</v>
      </c>
      <c r="J132" s="1">
        <v>7.5545849537469734E-2</v>
      </c>
      <c r="K132" s="1">
        <v>0.11563028581589062</v>
      </c>
    </row>
    <row r="133" spans="2:11" x14ac:dyDescent="0.3">
      <c r="B133" s="1" t="s">
        <v>87</v>
      </c>
      <c r="C133" s="1">
        <v>0</v>
      </c>
      <c r="D133" s="1">
        <v>0</v>
      </c>
      <c r="E133" s="1">
        <v>0</v>
      </c>
      <c r="F133" s="1">
        <v>100</v>
      </c>
      <c r="G133" s="1">
        <v>100</v>
      </c>
      <c r="H133" s="1">
        <v>100</v>
      </c>
      <c r="I133" s="1">
        <v>69.906354149094767</v>
      </c>
      <c r="J133" s="1">
        <v>73.368825141221038</v>
      </c>
      <c r="K133" s="1">
        <v>71.807757013180634</v>
      </c>
    </row>
    <row r="135" spans="2:11" x14ac:dyDescent="0.3">
      <c r="C135" s="25" t="s">
        <v>101</v>
      </c>
      <c r="D135" s="25"/>
      <c r="E135" s="25"/>
      <c r="F135" s="25"/>
      <c r="G135" s="25"/>
      <c r="H135" s="25"/>
      <c r="I135" s="25" t="s">
        <v>86</v>
      </c>
      <c r="J135" s="25"/>
      <c r="K135" s="25"/>
    </row>
    <row r="136" spans="2:11" x14ac:dyDescent="0.3">
      <c r="B136" s="3" t="s">
        <v>159</v>
      </c>
      <c r="C136" s="26" t="s">
        <v>160</v>
      </c>
      <c r="D136" s="26"/>
      <c r="E136" s="26"/>
      <c r="F136" s="26" t="s">
        <v>161</v>
      </c>
      <c r="G136" s="26"/>
      <c r="H136" s="26"/>
      <c r="I136" s="25"/>
      <c r="J136" s="25"/>
      <c r="K136" s="25"/>
    </row>
    <row r="137" spans="2:11" x14ac:dyDescent="0.3">
      <c r="C137" s="2" t="s">
        <v>102</v>
      </c>
      <c r="D137" s="2" t="s">
        <v>103</v>
      </c>
      <c r="E137" s="2" t="s">
        <v>104</v>
      </c>
      <c r="F137" s="2" t="s">
        <v>102</v>
      </c>
      <c r="G137" s="2" t="s">
        <v>103</v>
      </c>
      <c r="H137" s="2" t="s">
        <v>104</v>
      </c>
      <c r="I137" s="2" t="s">
        <v>102</v>
      </c>
      <c r="J137" s="2" t="s">
        <v>103</v>
      </c>
      <c r="K137" s="2" t="s">
        <v>104</v>
      </c>
    </row>
    <row r="138" spans="2:11" x14ac:dyDescent="0.3">
      <c r="B138" s="1" t="s">
        <v>90</v>
      </c>
      <c r="C138" s="1">
        <v>0</v>
      </c>
      <c r="D138" s="1">
        <v>0</v>
      </c>
      <c r="E138" s="1">
        <v>0</v>
      </c>
      <c r="F138" s="1">
        <v>100</v>
      </c>
      <c r="G138" s="1">
        <v>100</v>
      </c>
      <c r="H138" s="1">
        <v>100</v>
      </c>
      <c r="I138" s="1">
        <v>2.3647002762953808</v>
      </c>
      <c r="J138" s="1">
        <v>0.88461614013050238</v>
      </c>
      <c r="K138" s="1">
        <v>5.0302957059152495</v>
      </c>
    </row>
    <row r="139" spans="2:11" x14ac:dyDescent="0.3">
      <c r="B139" s="1" t="s">
        <v>94</v>
      </c>
      <c r="C139" s="1">
        <v>0</v>
      </c>
      <c r="D139" s="1">
        <v>0</v>
      </c>
      <c r="E139" s="1">
        <v>0</v>
      </c>
      <c r="F139" s="1">
        <v>100</v>
      </c>
      <c r="G139" s="1">
        <v>100</v>
      </c>
      <c r="H139" s="1">
        <v>100</v>
      </c>
      <c r="I139" s="1">
        <v>5.5443021606561569</v>
      </c>
      <c r="J139" s="1">
        <v>5.2627642052627905</v>
      </c>
      <c r="K139" s="1">
        <v>4.7261223174572651</v>
      </c>
    </row>
    <row r="140" spans="2:11" x14ac:dyDescent="0.3">
      <c r="B140" s="1" t="s">
        <v>87</v>
      </c>
      <c r="C140" s="1">
        <v>0</v>
      </c>
      <c r="D140" s="1">
        <v>0</v>
      </c>
      <c r="E140" s="1">
        <v>0</v>
      </c>
      <c r="F140" s="1">
        <v>100</v>
      </c>
      <c r="G140" s="1">
        <v>100</v>
      </c>
      <c r="H140" s="1">
        <v>100</v>
      </c>
      <c r="I140" s="1">
        <v>87.848349883434025</v>
      </c>
      <c r="J140" s="1">
        <v>87.40042848614614</v>
      </c>
      <c r="K140" s="1">
        <v>87.080527374369126</v>
      </c>
    </row>
    <row r="142" spans="2:11" x14ac:dyDescent="0.3">
      <c r="C142" s="25" t="s">
        <v>101</v>
      </c>
      <c r="D142" s="25"/>
      <c r="E142" s="25"/>
      <c r="F142" s="25"/>
      <c r="G142" s="25"/>
      <c r="H142" s="25"/>
      <c r="I142" s="25" t="s">
        <v>86</v>
      </c>
      <c r="J142" s="25"/>
      <c r="K142" s="25"/>
    </row>
    <row r="143" spans="2:11" x14ac:dyDescent="0.3">
      <c r="B143" s="3" t="s">
        <v>162</v>
      </c>
      <c r="C143" s="26" t="s">
        <v>163</v>
      </c>
      <c r="D143" s="26"/>
      <c r="E143" s="26"/>
      <c r="F143" s="26" t="s">
        <v>164</v>
      </c>
      <c r="G143" s="26"/>
      <c r="H143" s="26"/>
      <c r="I143" s="25"/>
      <c r="J143" s="25"/>
      <c r="K143" s="25"/>
    </row>
    <row r="144" spans="2:11" x14ac:dyDescent="0.3">
      <c r="C144" s="2" t="s">
        <v>102</v>
      </c>
      <c r="D144" s="2" t="s">
        <v>103</v>
      </c>
      <c r="E144" s="2" t="s">
        <v>104</v>
      </c>
      <c r="F144" s="2" t="s">
        <v>102</v>
      </c>
      <c r="G144" s="2" t="s">
        <v>103</v>
      </c>
      <c r="H144" s="2" t="s">
        <v>104</v>
      </c>
      <c r="I144" s="2" t="s">
        <v>102</v>
      </c>
      <c r="J144" s="2" t="s">
        <v>103</v>
      </c>
      <c r="K144" s="2" t="s">
        <v>104</v>
      </c>
    </row>
    <row r="145" spans="2:11" x14ac:dyDescent="0.3">
      <c r="B145" s="1" t="s">
        <v>90</v>
      </c>
      <c r="C145" s="1">
        <v>0</v>
      </c>
      <c r="D145" s="1">
        <v>0</v>
      </c>
      <c r="E145" s="1">
        <v>0</v>
      </c>
      <c r="F145" s="1">
        <v>100</v>
      </c>
      <c r="G145" s="1">
        <v>100</v>
      </c>
      <c r="H145" s="1">
        <v>100</v>
      </c>
      <c r="I145" s="1">
        <v>1.8412108114088437</v>
      </c>
      <c r="J145" s="1">
        <v>2.9243129718927757E-2</v>
      </c>
      <c r="K145" s="1">
        <v>10.795454616887969</v>
      </c>
    </row>
    <row r="146" spans="2:11" x14ac:dyDescent="0.3">
      <c r="B146" s="1" t="s">
        <v>94</v>
      </c>
      <c r="C146" s="1">
        <v>0</v>
      </c>
      <c r="D146" s="1">
        <v>0</v>
      </c>
      <c r="E146" s="1">
        <v>0</v>
      </c>
      <c r="F146" s="1">
        <v>100</v>
      </c>
      <c r="G146" s="1">
        <v>100</v>
      </c>
      <c r="H146" s="1">
        <v>100</v>
      </c>
      <c r="I146" s="1">
        <v>5.055025738605897</v>
      </c>
      <c r="J146" s="1">
        <v>3.7561832058189553</v>
      </c>
      <c r="K146" s="1">
        <v>12.163230976093175</v>
      </c>
    </row>
    <row r="147" spans="2:11" x14ac:dyDescent="0.3">
      <c r="B147" s="1" t="s">
        <v>87</v>
      </c>
      <c r="C147" s="1">
        <v>0</v>
      </c>
      <c r="D147" s="1">
        <v>0</v>
      </c>
      <c r="E147" s="1">
        <v>0</v>
      </c>
      <c r="F147" s="1">
        <v>100</v>
      </c>
      <c r="G147" s="1">
        <v>100</v>
      </c>
      <c r="H147" s="1">
        <v>100</v>
      </c>
      <c r="I147" s="1">
        <v>88.769732983572425</v>
      </c>
      <c r="J147" s="1">
        <v>89.869568852420883</v>
      </c>
      <c r="K147" s="1">
        <v>89.900421234334146</v>
      </c>
    </row>
    <row r="149" spans="2:11" x14ac:dyDescent="0.3">
      <c r="C149" s="25" t="s">
        <v>101</v>
      </c>
      <c r="D149" s="25"/>
      <c r="E149" s="25"/>
      <c r="F149" s="25"/>
      <c r="G149" s="25"/>
      <c r="H149" s="25"/>
      <c r="I149" s="25" t="s">
        <v>86</v>
      </c>
      <c r="J149" s="25"/>
      <c r="K149" s="25"/>
    </row>
    <row r="150" spans="2:11" x14ac:dyDescent="0.3">
      <c r="B150" s="3" t="s">
        <v>165</v>
      </c>
      <c r="C150" s="26" t="s">
        <v>166</v>
      </c>
      <c r="D150" s="26"/>
      <c r="E150" s="26"/>
      <c r="F150" s="26" t="s">
        <v>167</v>
      </c>
      <c r="G150" s="26"/>
      <c r="H150" s="26"/>
      <c r="I150" s="25"/>
      <c r="J150" s="25"/>
      <c r="K150" s="25"/>
    </row>
    <row r="151" spans="2:11" x14ac:dyDescent="0.3">
      <c r="C151" s="2" t="s">
        <v>102</v>
      </c>
      <c r="D151" s="2" t="s">
        <v>103</v>
      </c>
      <c r="E151" s="2" t="s">
        <v>104</v>
      </c>
      <c r="F151" s="2" t="s">
        <v>102</v>
      </c>
      <c r="G151" s="2" t="s">
        <v>103</v>
      </c>
      <c r="H151" s="2" t="s">
        <v>104</v>
      </c>
      <c r="I151" s="2" t="s">
        <v>102</v>
      </c>
      <c r="J151" s="2" t="s">
        <v>103</v>
      </c>
      <c r="K151" s="2" t="s">
        <v>104</v>
      </c>
    </row>
    <row r="152" spans="2:11" x14ac:dyDescent="0.3">
      <c r="B152" s="1" t="s">
        <v>90</v>
      </c>
      <c r="C152" s="1">
        <v>0</v>
      </c>
      <c r="D152" s="1">
        <v>0</v>
      </c>
      <c r="E152" s="1">
        <v>0</v>
      </c>
      <c r="F152" s="1">
        <v>100</v>
      </c>
      <c r="G152" s="1">
        <v>100</v>
      </c>
      <c r="H152" s="1">
        <v>100</v>
      </c>
      <c r="I152" s="1">
        <v>1.4378242651620567</v>
      </c>
      <c r="J152" s="1">
        <v>2.1584855459201546</v>
      </c>
      <c r="K152" s="1">
        <v>3.0234821308000774</v>
      </c>
    </row>
    <row r="153" spans="2:11" x14ac:dyDescent="0.3">
      <c r="B153" s="1" t="s">
        <v>94</v>
      </c>
      <c r="C153" s="1">
        <v>0</v>
      </c>
      <c r="D153" s="1">
        <v>0</v>
      </c>
      <c r="E153" s="1">
        <v>0</v>
      </c>
      <c r="F153" s="1">
        <v>100</v>
      </c>
      <c r="G153" s="1">
        <v>100</v>
      </c>
      <c r="H153" s="1">
        <v>100</v>
      </c>
      <c r="I153" s="1">
        <v>3.2389820789372227E-2</v>
      </c>
      <c r="J153" s="1">
        <v>1.2492832162015644</v>
      </c>
      <c r="K153" s="1">
        <v>1.2572950487608692</v>
      </c>
    </row>
    <row r="154" spans="2:11" x14ac:dyDescent="0.3">
      <c r="B154" s="1" t="s">
        <v>87</v>
      </c>
      <c r="C154" s="1">
        <v>0</v>
      </c>
      <c r="D154" s="1">
        <v>0</v>
      </c>
      <c r="E154" s="1">
        <v>0</v>
      </c>
      <c r="F154" s="1">
        <v>100</v>
      </c>
      <c r="G154" s="1">
        <v>100</v>
      </c>
      <c r="H154" s="1">
        <v>100</v>
      </c>
      <c r="I154" s="1">
        <v>36.019535661094835</v>
      </c>
      <c r="J154" s="1">
        <v>34.943723909559012</v>
      </c>
      <c r="K154" s="1">
        <v>36.022777089534856</v>
      </c>
    </row>
    <row r="156" spans="2:11" x14ac:dyDescent="0.3">
      <c r="C156" s="25" t="s">
        <v>101</v>
      </c>
      <c r="D156" s="25"/>
      <c r="E156" s="25"/>
      <c r="F156" s="25"/>
      <c r="G156" s="25"/>
      <c r="H156" s="25"/>
      <c r="I156" s="25" t="s">
        <v>86</v>
      </c>
      <c r="J156" s="25"/>
      <c r="K156" s="25"/>
    </row>
    <row r="157" spans="2:11" x14ac:dyDescent="0.3">
      <c r="B157" s="3" t="s">
        <v>168</v>
      </c>
      <c r="C157" s="26" t="s">
        <v>169</v>
      </c>
      <c r="D157" s="26"/>
      <c r="E157" s="26"/>
      <c r="F157" s="26" t="s">
        <v>170</v>
      </c>
      <c r="G157" s="26"/>
      <c r="H157" s="26"/>
      <c r="I157" s="25"/>
      <c r="J157" s="25"/>
      <c r="K157" s="25"/>
    </row>
    <row r="158" spans="2:11" x14ac:dyDescent="0.3">
      <c r="C158" s="2" t="s">
        <v>102</v>
      </c>
      <c r="D158" s="2" t="s">
        <v>103</v>
      </c>
      <c r="E158" s="2" t="s">
        <v>104</v>
      </c>
      <c r="F158" s="2" t="s">
        <v>102</v>
      </c>
      <c r="G158" s="2" t="s">
        <v>103</v>
      </c>
      <c r="H158" s="2" t="s">
        <v>104</v>
      </c>
      <c r="I158" s="2" t="s">
        <v>102</v>
      </c>
      <c r="J158" s="2" t="s">
        <v>103</v>
      </c>
      <c r="K158" s="2" t="s">
        <v>104</v>
      </c>
    </row>
    <row r="159" spans="2:11" x14ac:dyDescent="0.3">
      <c r="B159" s="1" t="s">
        <v>90</v>
      </c>
      <c r="C159" s="1">
        <v>0</v>
      </c>
      <c r="D159" s="1">
        <v>0</v>
      </c>
      <c r="E159" s="1">
        <v>0</v>
      </c>
      <c r="F159" s="1">
        <v>100</v>
      </c>
      <c r="G159" s="1">
        <v>100</v>
      </c>
      <c r="H159" s="1">
        <v>100</v>
      </c>
      <c r="I159" s="1">
        <v>2.2674917390144285</v>
      </c>
      <c r="J159" s="1">
        <v>6.9511729573302139</v>
      </c>
      <c r="K159" s="1">
        <v>0.3973174886603863</v>
      </c>
    </row>
    <row r="160" spans="2:11" x14ac:dyDescent="0.3">
      <c r="B160" s="1" t="s">
        <v>94</v>
      </c>
      <c r="C160" s="1">
        <v>0</v>
      </c>
      <c r="D160" s="1">
        <v>0</v>
      </c>
      <c r="E160" s="1">
        <v>0</v>
      </c>
      <c r="F160" s="1">
        <v>100</v>
      </c>
      <c r="G160" s="1">
        <v>100</v>
      </c>
      <c r="H160" s="1">
        <v>100</v>
      </c>
      <c r="I160" s="1">
        <v>6.0513823040453181</v>
      </c>
      <c r="J160" s="1">
        <v>2.1323502247398558</v>
      </c>
      <c r="K160" s="1">
        <v>7.1678365453687167</v>
      </c>
    </row>
    <row r="161" spans="2:11" x14ac:dyDescent="0.3">
      <c r="B161" s="1" t="s">
        <v>87</v>
      </c>
      <c r="C161" s="1">
        <v>0</v>
      </c>
      <c r="D161" s="1">
        <v>0</v>
      </c>
      <c r="E161" s="1">
        <v>0</v>
      </c>
      <c r="F161" s="1">
        <v>100</v>
      </c>
      <c r="G161" s="1">
        <v>100</v>
      </c>
      <c r="H161" s="1">
        <v>100</v>
      </c>
      <c r="I161" s="1">
        <v>86.912115428031939</v>
      </c>
      <c r="J161" s="1">
        <v>81.60185128173552</v>
      </c>
      <c r="K161" s="1">
        <v>87.669170617572817</v>
      </c>
    </row>
    <row r="163" spans="2:11" x14ac:dyDescent="0.3">
      <c r="C163" s="25" t="s">
        <v>101</v>
      </c>
      <c r="D163" s="25"/>
      <c r="E163" s="25"/>
      <c r="F163" s="25"/>
      <c r="G163" s="25"/>
      <c r="H163" s="25"/>
      <c r="I163" s="25" t="s">
        <v>86</v>
      </c>
      <c r="J163" s="25"/>
      <c r="K163" s="25"/>
    </row>
    <row r="164" spans="2:11" x14ac:dyDescent="0.3">
      <c r="B164" s="3" t="s">
        <v>171</v>
      </c>
      <c r="C164" s="26" t="s">
        <v>172</v>
      </c>
      <c r="D164" s="26"/>
      <c r="E164" s="26"/>
      <c r="F164" s="26" t="s">
        <v>173</v>
      </c>
      <c r="G164" s="26"/>
      <c r="H164" s="26"/>
      <c r="I164" s="25"/>
      <c r="J164" s="25"/>
      <c r="K164" s="25"/>
    </row>
    <row r="165" spans="2:11" x14ac:dyDescent="0.3">
      <c r="C165" s="2" t="s">
        <v>102</v>
      </c>
      <c r="D165" s="2" t="s">
        <v>103</v>
      </c>
      <c r="E165" s="2" t="s">
        <v>104</v>
      </c>
      <c r="F165" s="2" t="s">
        <v>102</v>
      </c>
      <c r="G165" s="2" t="s">
        <v>103</v>
      </c>
      <c r="H165" s="2" t="s">
        <v>104</v>
      </c>
      <c r="I165" s="2" t="s">
        <v>102</v>
      </c>
      <c r="J165" s="2" t="s">
        <v>103</v>
      </c>
      <c r="K165" s="2" t="s">
        <v>104</v>
      </c>
    </row>
    <row r="166" spans="2:11" x14ac:dyDescent="0.3">
      <c r="B166" s="1" t="s">
        <v>90</v>
      </c>
      <c r="C166" s="1">
        <v>0</v>
      </c>
      <c r="D166" s="1">
        <v>0</v>
      </c>
      <c r="E166" s="1">
        <v>0</v>
      </c>
      <c r="F166" s="1">
        <v>100</v>
      </c>
      <c r="G166" s="1">
        <v>100</v>
      </c>
      <c r="H166" s="1">
        <v>100</v>
      </c>
      <c r="I166" s="1">
        <v>2.3531375734408737</v>
      </c>
      <c r="J166" s="1">
        <v>1.1910830683716955</v>
      </c>
      <c r="K166" s="1">
        <v>2.88608530193261</v>
      </c>
    </row>
    <row r="167" spans="2:11" x14ac:dyDescent="0.3">
      <c r="B167" s="1" t="s">
        <v>94</v>
      </c>
      <c r="C167" s="1">
        <v>0</v>
      </c>
      <c r="D167" s="1">
        <v>0</v>
      </c>
      <c r="E167" s="1">
        <v>0</v>
      </c>
      <c r="F167" s="1">
        <v>100</v>
      </c>
      <c r="G167" s="1">
        <v>100</v>
      </c>
      <c r="H167" s="1">
        <v>100</v>
      </c>
      <c r="I167" s="1">
        <v>5.013393636901827</v>
      </c>
      <c r="J167" s="1">
        <v>7.0705882534790225</v>
      </c>
      <c r="K167" s="1">
        <v>7.7924225866335686</v>
      </c>
    </row>
    <row r="168" spans="2:11" x14ac:dyDescent="0.3">
      <c r="B168" s="1" t="s">
        <v>87</v>
      </c>
      <c r="C168" s="1">
        <v>0</v>
      </c>
      <c r="D168" s="1">
        <v>0</v>
      </c>
      <c r="E168" s="1">
        <v>0</v>
      </c>
      <c r="F168" s="1">
        <v>100</v>
      </c>
      <c r="G168" s="1">
        <v>100</v>
      </c>
      <c r="H168" s="1">
        <v>100</v>
      </c>
      <c r="I168" s="1">
        <v>90.208749066773422</v>
      </c>
      <c r="J168" s="1">
        <v>88.996149619212645</v>
      </c>
      <c r="K168" s="1">
        <v>89.205130543520426</v>
      </c>
    </row>
    <row r="170" spans="2:11" x14ac:dyDescent="0.3">
      <c r="C170" s="25" t="s">
        <v>101</v>
      </c>
      <c r="D170" s="25"/>
      <c r="E170" s="25"/>
      <c r="F170" s="25"/>
      <c r="G170" s="25"/>
      <c r="H170" s="25"/>
      <c r="I170" s="25" t="s">
        <v>86</v>
      </c>
      <c r="J170" s="25"/>
      <c r="K170" s="25"/>
    </row>
    <row r="171" spans="2:11" x14ac:dyDescent="0.3">
      <c r="B171" s="3" t="s">
        <v>174</v>
      </c>
      <c r="C171" s="26" t="s">
        <v>175</v>
      </c>
      <c r="D171" s="26"/>
      <c r="E171" s="26"/>
      <c r="F171" s="26" t="s">
        <v>176</v>
      </c>
      <c r="G171" s="26"/>
      <c r="H171" s="26"/>
      <c r="I171" s="25"/>
      <c r="J171" s="25"/>
      <c r="K171" s="25"/>
    </row>
    <row r="172" spans="2:11" x14ac:dyDescent="0.3">
      <c r="C172" s="2" t="s">
        <v>102</v>
      </c>
      <c r="D172" s="2" t="s">
        <v>103</v>
      </c>
      <c r="E172" s="2" t="s">
        <v>104</v>
      </c>
      <c r="F172" s="2" t="s">
        <v>102</v>
      </c>
      <c r="G172" s="2" t="s">
        <v>103</v>
      </c>
      <c r="H172" s="2" t="s">
        <v>104</v>
      </c>
      <c r="I172" s="2" t="s">
        <v>102</v>
      </c>
      <c r="J172" s="2" t="s">
        <v>103</v>
      </c>
      <c r="K172" s="2" t="s">
        <v>104</v>
      </c>
    </row>
    <row r="173" spans="2:11" x14ac:dyDescent="0.3">
      <c r="B173" s="1" t="s">
        <v>90</v>
      </c>
      <c r="C173" s="1">
        <v>0</v>
      </c>
      <c r="D173" s="1">
        <v>0</v>
      </c>
      <c r="E173" s="1">
        <v>0</v>
      </c>
      <c r="F173" s="1">
        <v>100</v>
      </c>
      <c r="G173" s="1">
        <v>100</v>
      </c>
      <c r="H173" s="1">
        <v>100</v>
      </c>
      <c r="I173" s="1">
        <v>2.537560067186786</v>
      </c>
      <c r="J173" s="1">
        <v>3.020592681812047</v>
      </c>
      <c r="K173" s="1">
        <v>0.20757132925267743</v>
      </c>
    </row>
    <row r="174" spans="2:11" x14ac:dyDescent="0.3">
      <c r="B174" s="1" t="s">
        <v>94</v>
      </c>
      <c r="C174" s="1">
        <v>0</v>
      </c>
      <c r="D174" s="1">
        <v>0</v>
      </c>
      <c r="E174" s="1">
        <v>0</v>
      </c>
      <c r="F174" s="1">
        <v>100</v>
      </c>
      <c r="G174" s="1">
        <v>100</v>
      </c>
      <c r="H174" s="1">
        <v>100</v>
      </c>
      <c r="I174" s="1">
        <v>7.0957593161555641</v>
      </c>
      <c r="J174" s="1">
        <v>3.9751123087688738</v>
      </c>
      <c r="K174" s="1">
        <v>4.7745942310549481</v>
      </c>
    </row>
    <row r="175" spans="2:11" x14ac:dyDescent="0.3">
      <c r="B175" s="1" t="s">
        <v>87</v>
      </c>
      <c r="C175" s="1">
        <v>0</v>
      </c>
      <c r="D175" s="1">
        <v>0</v>
      </c>
      <c r="E175" s="1">
        <v>0</v>
      </c>
      <c r="F175" s="1">
        <v>100</v>
      </c>
      <c r="G175" s="1">
        <v>100</v>
      </c>
      <c r="H175" s="1">
        <v>100</v>
      </c>
      <c r="I175" s="1">
        <v>44.347543043661204</v>
      </c>
      <c r="J175" s="1">
        <v>48.264927340961592</v>
      </c>
      <c r="K175" s="1">
        <v>43.605630352458427</v>
      </c>
    </row>
    <row r="177" spans="2:11" x14ac:dyDescent="0.3">
      <c r="C177" s="25" t="s">
        <v>101</v>
      </c>
      <c r="D177" s="25"/>
      <c r="E177" s="25"/>
      <c r="F177" s="25"/>
      <c r="G177" s="25"/>
      <c r="H177" s="25"/>
      <c r="I177" s="25" t="s">
        <v>86</v>
      </c>
      <c r="J177" s="25"/>
      <c r="K177" s="25"/>
    </row>
    <row r="178" spans="2:11" x14ac:dyDescent="0.3">
      <c r="B178" s="3" t="s">
        <v>177</v>
      </c>
      <c r="C178" s="26" t="s">
        <v>178</v>
      </c>
      <c r="D178" s="26"/>
      <c r="E178" s="26"/>
      <c r="F178" s="26" t="s">
        <v>179</v>
      </c>
      <c r="G178" s="26"/>
      <c r="H178" s="26"/>
      <c r="I178" s="25"/>
      <c r="J178" s="25"/>
      <c r="K178" s="25"/>
    </row>
    <row r="179" spans="2:11" x14ac:dyDescent="0.3">
      <c r="C179" s="2" t="s">
        <v>102</v>
      </c>
      <c r="D179" s="2" t="s">
        <v>103</v>
      </c>
      <c r="E179" s="2" t="s">
        <v>104</v>
      </c>
      <c r="F179" s="2" t="s">
        <v>102</v>
      </c>
      <c r="G179" s="2" t="s">
        <v>103</v>
      </c>
      <c r="H179" s="2" t="s">
        <v>104</v>
      </c>
      <c r="I179" s="2" t="s">
        <v>102</v>
      </c>
      <c r="J179" s="2" t="s">
        <v>103</v>
      </c>
      <c r="K179" s="2" t="s">
        <v>104</v>
      </c>
    </row>
    <row r="180" spans="2:11" x14ac:dyDescent="0.3">
      <c r="B180" s="1" t="s">
        <v>90</v>
      </c>
      <c r="C180" s="1">
        <v>100</v>
      </c>
      <c r="D180" s="1">
        <v>100</v>
      </c>
      <c r="E180" s="1">
        <v>100</v>
      </c>
      <c r="F180" s="1">
        <v>0</v>
      </c>
      <c r="G180" s="1">
        <v>0</v>
      </c>
      <c r="H180" s="1">
        <v>0</v>
      </c>
      <c r="I180" s="1">
        <v>29.476698474029483</v>
      </c>
      <c r="J180" s="1">
        <v>45.66499837235439</v>
      </c>
      <c r="K180" s="1">
        <v>43.765462451445302</v>
      </c>
    </row>
    <row r="181" spans="2:11" x14ac:dyDescent="0.3">
      <c r="B181" s="1" t="s">
        <v>94</v>
      </c>
      <c r="C181" s="1">
        <v>100</v>
      </c>
      <c r="D181" s="1">
        <v>100</v>
      </c>
      <c r="E181" s="1">
        <v>100</v>
      </c>
      <c r="F181" s="1">
        <v>0</v>
      </c>
      <c r="G181" s="1">
        <v>0</v>
      </c>
      <c r="H181" s="1">
        <v>0</v>
      </c>
      <c r="I181" s="1">
        <v>98.757983430756809</v>
      </c>
      <c r="J181" s="1">
        <v>98.25972159911197</v>
      </c>
      <c r="K181" s="1">
        <v>99.763834951350347</v>
      </c>
    </row>
    <row r="182" spans="2:11" x14ac:dyDescent="0.3">
      <c r="B182" s="1" t="s">
        <v>87</v>
      </c>
      <c r="C182" s="1">
        <v>91.911415184903518</v>
      </c>
      <c r="D182" s="1">
        <v>91.944363470273501</v>
      </c>
      <c r="E182" s="1">
        <v>91.843169071497201</v>
      </c>
      <c r="F182" s="1">
        <v>8.0885848150964925</v>
      </c>
      <c r="G182" s="1">
        <v>8.05563652972649</v>
      </c>
      <c r="H182" s="1">
        <v>8.1568309285028011</v>
      </c>
      <c r="I182" s="1">
        <v>98.713425085882506</v>
      </c>
      <c r="J182" s="1">
        <v>98.979654648088754</v>
      </c>
      <c r="K182" s="1">
        <v>98.988327663616218</v>
      </c>
    </row>
    <row r="184" spans="2:11" x14ac:dyDescent="0.3">
      <c r="C184" s="25" t="s">
        <v>101</v>
      </c>
      <c r="D184" s="25"/>
      <c r="E184" s="25"/>
      <c r="F184" s="25"/>
      <c r="G184" s="25"/>
      <c r="H184" s="25"/>
      <c r="I184" s="25" t="s">
        <v>86</v>
      </c>
      <c r="J184" s="25"/>
      <c r="K184" s="25"/>
    </row>
    <row r="185" spans="2:11" x14ac:dyDescent="0.3">
      <c r="B185" s="3" t="s">
        <v>180</v>
      </c>
      <c r="C185" s="26" t="s">
        <v>181</v>
      </c>
      <c r="D185" s="26"/>
      <c r="E185" s="26"/>
      <c r="F185" s="26" t="s">
        <v>182</v>
      </c>
      <c r="G185" s="26"/>
      <c r="H185" s="26"/>
      <c r="I185" s="25"/>
      <c r="J185" s="25"/>
      <c r="K185" s="25"/>
    </row>
    <row r="186" spans="2:11" x14ac:dyDescent="0.3">
      <c r="C186" s="2" t="s">
        <v>102</v>
      </c>
      <c r="D186" s="2" t="s">
        <v>103</v>
      </c>
      <c r="E186" s="2" t="s">
        <v>104</v>
      </c>
      <c r="F186" s="2" t="s">
        <v>102</v>
      </c>
      <c r="G186" s="2" t="s">
        <v>103</v>
      </c>
      <c r="H186" s="2" t="s">
        <v>104</v>
      </c>
      <c r="I186" s="2" t="s">
        <v>102</v>
      </c>
      <c r="J186" s="2" t="s">
        <v>103</v>
      </c>
      <c r="K186" s="2" t="s">
        <v>104</v>
      </c>
    </row>
    <row r="187" spans="2:11" x14ac:dyDescent="0.3">
      <c r="B187" s="1" t="s">
        <v>90</v>
      </c>
      <c r="C187" s="1">
        <v>99.870868825930401</v>
      </c>
      <c r="D187" s="1">
        <v>99.875599127874011</v>
      </c>
      <c r="E187" s="1">
        <v>99.870686243485736</v>
      </c>
      <c r="F187" s="1">
        <v>0.12913117406959687</v>
      </c>
      <c r="G187" s="1">
        <v>0.12440087212597958</v>
      </c>
      <c r="H187" s="1">
        <v>0.12931375651426263</v>
      </c>
      <c r="I187" s="1">
        <v>99.398208831678645</v>
      </c>
      <c r="J187" s="1">
        <v>99.964967142438482</v>
      </c>
      <c r="K187" s="1">
        <v>99.942370367370131</v>
      </c>
    </row>
    <row r="188" spans="2:11" x14ac:dyDescent="0.3">
      <c r="B188" s="1" t="s">
        <v>94</v>
      </c>
      <c r="C188" s="1">
        <v>99.846190171446764</v>
      </c>
      <c r="D188" s="1">
        <v>99.85428201273217</v>
      </c>
      <c r="E188" s="1">
        <v>99.856061386768573</v>
      </c>
      <c r="F188" s="1">
        <v>0.15380982855324668</v>
      </c>
      <c r="G188" s="1">
        <v>0.14571798726783283</v>
      </c>
      <c r="H188" s="1">
        <v>0.14393861323143334</v>
      </c>
      <c r="I188" s="1">
        <v>99.90211167823216</v>
      </c>
      <c r="J188" s="1">
        <v>99.899289263627949</v>
      </c>
      <c r="K188" s="1">
        <v>99.915281006581296</v>
      </c>
    </row>
    <row r="189" spans="2:11" x14ac:dyDescent="0.3">
      <c r="B189" s="1" t="s">
        <v>87</v>
      </c>
      <c r="C189" s="1">
        <v>38.74654684112005</v>
      </c>
      <c r="D189" s="1">
        <v>37.988225050806783</v>
      </c>
      <c r="E189" s="1">
        <v>37.818466385242182</v>
      </c>
      <c r="F189" s="1">
        <v>61.253453158879942</v>
      </c>
      <c r="G189" s="1">
        <v>62.01177494919321</v>
      </c>
      <c r="H189" s="1">
        <v>62.181533614757825</v>
      </c>
      <c r="I189" s="1">
        <v>84.787551906241362</v>
      </c>
      <c r="J189" s="1">
        <v>80.337023073035709</v>
      </c>
      <c r="K189" s="1">
        <v>78.138088584013801</v>
      </c>
    </row>
    <row r="191" spans="2:11" x14ac:dyDescent="0.3">
      <c r="C191" s="25" t="s">
        <v>101</v>
      </c>
      <c r="D191" s="25"/>
      <c r="E191" s="25"/>
      <c r="F191" s="25"/>
      <c r="G191" s="25" t="s">
        <v>86</v>
      </c>
      <c r="H191" s="25"/>
    </row>
    <row r="192" spans="2:11" x14ac:dyDescent="0.3">
      <c r="B192" s="3" t="s">
        <v>183</v>
      </c>
      <c r="C192" s="26" t="s">
        <v>184</v>
      </c>
      <c r="D192" s="26"/>
      <c r="E192" s="26" t="s">
        <v>185</v>
      </c>
      <c r="F192" s="26"/>
      <c r="G192" s="25"/>
      <c r="H192" s="25"/>
    </row>
    <row r="193" spans="2:8" x14ac:dyDescent="0.3">
      <c r="C193" s="2" t="s">
        <v>102</v>
      </c>
      <c r="D193" s="2" t="s">
        <v>103</v>
      </c>
      <c r="E193" s="2" t="s">
        <v>102</v>
      </c>
      <c r="F193" s="2" t="s">
        <v>103</v>
      </c>
      <c r="G193" s="2" t="s">
        <v>102</v>
      </c>
      <c r="H193" s="2" t="s">
        <v>103</v>
      </c>
    </row>
    <row r="194" spans="2:8" x14ac:dyDescent="0.3">
      <c r="B194" s="1" t="s">
        <v>90</v>
      </c>
      <c r="C194" s="1">
        <v>98.754934195191126</v>
      </c>
      <c r="D194" s="1">
        <v>98.116185036022017</v>
      </c>
      <c r="E194" s="1">
        <v>1.2450658048088747</v>
      </c>
      <c r="F194" s="1">
        <v>1.8838149639779855</v>
      </c>
      <c r="G194" s="1">
        <v>10.680675587721918</v>
      </c>
      <c r="H194" s="1">
        <v>11.245661345320967</v>
      </c>
    </row>
    <row r="195" spans="2:8" x14ac:dyDescent="0.3">
      <c r="B195" s="1" t="s">
        <v>94</v>
      </c>
      <c r="C195" s="1">
        <v>99.920860751027135</v>
      </c>
      <c r="D195" s="1">
        <v>99.9228693225743</v>
      </c>
      <c r="E195" s="1">
        <v>7.9139248972863924E-2</v>
      </c>
      <c r="F195" s="1">
        <v>7.7130677425697847E-2</v>
      </c>
      <c r="G195" s="1">
        <v>99.965569184009681</v>
      </c>
      <c r="H195" s="1">
        <v>99.972415300288006</v>
      </c>
    </row>
    <row r="196" spans="2:8" x14ac:dyDescent="0.3">
      <c r="B196" s="1" t="s">
        <v>87</v>
      </c>
      <c r="C196" s="1">
        <v>22.55132407926083</v>
      </c>
      <c r="D196" s="1">
        <v>21.064631334412436</v>
      </c>
      <c r="E196" s="1">
        <v>77.448675920739163</v>
      </c>
      <c r="F196" s="1">
        <v>78.935368665587575</v>
      </c>
      <c r="G196" s="1">
        <v>80.208688312726011</v>
      </c>
      <c r="H196" s="1">
        <v>77.625404545401665</v>
      </c>
    </row>
    <row r="198" spans="2:8" x14ac:dyDescent="0.3">
      <c r="C198" s="25" t="s">
        <v>101</v>
      </c>
      <c r="D198" s="25"/>
      <c r="E198" s="25"/>
      <c r="F198" s="25"/>
      <c r="G198" s="25" t="s">
        <v>86</v>
      </c>
      <c r="H198" s="25"/>
    </row>
    <row r="199" spans="2:8" x14ac:dyDescent="0.3">
      <c r="B199" s="3" t="s">
        <v>186</v>
      </c>
      <c r="C199" s="26" t="s">
        <v>187</v>
      </c>
      <c r="D199" s="26"/>
      <c r="E199" s="26" t="s">
        <v>188</v>
      </c>
      <c r="F199" s="26"/>
      <c r="G199" s="25"/>
      <c r="H199" s="25"/>
    </row>
    <row r="200" spans="2:8" x14ac:dyDescent="0.3">
      <c r="C200" s="2" t="s">
        <v>102</v>
      </c>
      <c r="D200" s="2" t="s">
        <v>103</v>
      </c>
      <c r="E200" s="2" t="s">
        <v>102</v>
      </c>
      <c r="F200" s="2" t="s">
        <v>103</v>
      </c>
      <c r="G200" s="2" t="s">
        <v>102</v>
      </c>
      <c r="H200" s="2" t="s">
        <v>103</v>
      </c>
    </row>
    <row r="201" spans="2:8" x14ac:dyDescent="0.3">
      <c r="B201" s="1" t="s">
        <v>90</v>
      </c>
      <c r="C201" s="1">
        <v>99.117616190765986</v>
      </c>
      <c r="D201" s="1">
        <v>99.13246712866281</v>
      </c>
      <c r="E201" s="1">
        <v>0.88238380923400661</v>
      </c>
      <c r="F201" s="1">
        <v>0.86753287133718682</v>
      </c>
      <c r="G201" s="1">
        <v>15.998628257580656</v>
      </c>
      <c r="H201" s="1">
        <v>17.676932290015699</v>
      </c>
    </row>
    <row r="202" spans="2:8" x14ac:dyDescent="0.3">
      <c r="B202" s="1" t="s">
        <v>94</v>
      </c>
      <c r="C202" s="1">
        <v>99.663489034608972</v>
      </c>
      <c r="D202" s="1">
        <v>99.68149454592033</v>
      </c>
      <c r="E202" s="1">
        <v>0.33651096539103204</v>
      </c>
      <c r="F202" s="1">
        <v>0.31850545407966424</v>
      </c>
      <c r="G202" s="1">
        <v>99.450218076173755</v>
      </c>
      <c r="H202" s="1">
        <v>99.773143511504003</v>
      </c>
    </row>
    <row r="203" spans="2:8" x14ac:dyDescent="0.3">
      <c r="B203" s="1" t="s">
        <v>87</v>
      </c>
      <c r="C203" s="1">
        <v>73.566798936964148</v>
      </c>
      <c r="D203" s="1">
        <v>73.510318386201348</v>
      </c>
      <c r="E203" s="1">
        <v>26.433201063035845</v>
      </c>
      <c r="F203" s="1">
        <v>26.489681613798655</v>
      </c>
      <c r="G203" s="1">
        <v>83.678904896775947</v>
      </c>
      <c r="H203" s="1">
        <v>83.728555619211292</v>
      </c>
    </row>
    <row r="205" spans="2:8" x14ac:dyDescent="0.3">
      <c r="C205" s="25" t="s">
        <v>101</v>
      </c>
      <c r="D205" s="25"/>
      <c r="E205" s="25"/>
      <c r="F205" s="25"/>
      <c r="G205" s="25" t="s">
        <v>86</v>
      </c>
      <c r="H205" s="25"/>
    </row>
    <row r="206" spans="2:8" x14ac:dyDescent="0.3">
      <c r="B206" s="3" t="s">
        <v>189</v>
      </c>
      <c r="C206" s="26" t="s">
        <v>190</v>
      </c>
      <c r="D206" s="26"/>
      <c r="E206" s="26" t="s">
        <v>191</v>
      </c>
      <c r="F206" s="26"/>
      <c r="G206" s="25"/>
      <c r="H206" s="25"/>
    </row>
    <row r="207" spans="2:8" x14ac:dyDescent="0.3">
      <c r="C207" s="2" t="s">
        <v>102</v>
      </c>
      <c r="D207" s="2" t="s">
        <v>103</v>
      </c>
      <c r="E207" s="2" t="s">
        <v>102</v>
      </c>
      <c r="F207" s="2" t="s">
        <v>103</v>
      </c>
      <c r="G207" s="2" t="s">
        <v>102</v>
      </c>
      <c r="H207" s="2" t="s">
        <v>103</v>
      </c>
    </row>
    <row r="208" spans="2:8" x14ac:dyDescent="0.3">
      <c r="B208" s="1" t="s">
        <v>90</v>
      </c>
      <c r="C208" s="1">
        <v>92.143094792354646</v>
      </c>
      <c r="D208" s="1">
        <v>92.00917090933612</v>
      </c>
      <c r="E208" s="1">
        <v>7.8569052076453625</v>
      </c>
      <c r="F208" s="1">
        <v>7.9908290906638797</v>
      </c>
      <c r="G208" s="1">
        <v>2.3539654798504892</v>
      </c>
      <c r="H208" s="1">
        <v>2.3270939982468386</v>
      </c>
    </row>
    <row r="209" spans="2:8" x14ac:dyDescent="0.3">
      <c r="B209" s="1" t="s">
        <v>94</v>
      </c>
      <c r="C209" s="1">
        <v>100</v>
      </c>
      <c r="D209" s="1">
        <v>100</v>
      </c>
      <c r="E209" s="1">
        <v>0</v>
      </c>
      <c r="F209" s="1">
        <v>0</v>
      </c>
      <c r="G209" s="1">
        <v>6.067478490969032</v>
      </c>
      <c r="H209" s="1">
        <v>2.5028475205158158</v>
      </c>
    </row>
    <row r="210" spans="2:8" x14ac:dyDescent="0.3">
      <c r="B210" s="1" t="s">
        <v>87</v>
      </c>
      <c r="C210" s="1">
        <v>45.930779635764836</v>
      </c>
      <c r="D210" s="1">
        <v>37.429741127220119</v>
      </c>
      <c r="E210" s="1">
        <v>54.069220364235157</v>
      </c>
      <c r="F210" s="1">
        <v>62.570258872779881</v>
      </c>
      <c r="G210" s="1">
        <v>2.3715426544905172</v>
      </c>
      <c r="H210" s="1">
        <v>2.2542430333702068</v>
      </c>
    </row>
    <row r="212" spans="2:8" x14ac:dyDescent="0.3">
      <c r="C212" s="25" t="s">
        <v>101</v>
      </c>
      <c r="D212" s="25"/>
      <c r="E212" s="25"/>
      <c r="F212" s="25"/>
      <c r="G212" s="25" t="s">
        <v>86</v>
      </c>
      <c r="H212" s="25"/>
    </row>
    <row r="213" spans="2:8" x14ac:dyDescent="0.3">
      <c r="B213" s="3" t="s">
        <v>192</v>
      </c>
      <c r="C213" s="26" t="s">
        <v>193</v>
      </c>
      <c r="D213" s="26"/>
      <c r="E213" s="26" t="s">
        <v>194</v>
      </c>
      <c r="F213" s="26"/>
      <c r="G213" s="25"/>
      <c r="H213" s="25"/>
    </row>
    <row r="214" spans="2:8" x14ac:dyDescent="0.3">
      <c r="C214" s="2" t="s">
        <v>102</v>
      </c>
      <c r="D214" s="2" t="s">
        <v>103</v>
      </c>
      <c r="E214" s="2" t="s">
        <v>102</v>
      </c>
      <c r="F214" s="2" t="s">
        <v>103</v>
      </c>
      <c r="G214" s="2" t="s">
        <v>102</v>
      </c>
      <c r="H214" s="2" t="s">
        <v>103</v>
      </c>
    </row>
    <row r="215" spans="2:8" x14ac:dyDescent="0.3">
      <c r="B215" s="1" t="s">
        <v>90</v>
      </c>
      <c r="C215" s="1">
        <v>20.026657780739754</v>
      </c>
      <c r="D215" s="1">
        <v>19.063276926778411</v>
      </c>
      <c r="E215" s="1">
        <v>79.973342219260246</v>
      </c>
      <c r="F215" s="1">
        <v>80.9367230732216</v>
      </c>
      <c r="G215" s="1">
        <v>5.2129908252721533</v>
      </c>
      <c r="H215" s="1">
        <v>5.1899453898739862</v>
      </c>
    </row>
    <row r="216" spans="2:8" x14ac:dyDescent="0.3">
      <c r="B216" s="1" t="s">
        <v>94</v>
      </c>
      <c r="C216" s="1">
        <v>85.665790626368803</v>
      </c>
      <c r="D216" s="1">
        <v>84.873028439193718</v>
      </c>
      <c r="E216" s="1">
        <v>14.334209373631188</v>
      </c>
      <c r="F216" s="1">
        <v>15.126971560806284</v>
      </c>
      <c r="G216" s="1">
        <v>9.1944675843283488</v>
      </c>
      <c r="H216" s="1">
        <v>9.1749167436421981</v>
      </c>
    </row>
    <row r="217" spans="2:8" x14ac:dyDescent="0.3">
      <c r="B217" s="1" t="s">
        <v>87</v>
      </c>
      <c r="C217" s="1">
        <v>1.2929839722163343</v>
      </c>
      <c r="D217" s="1">
        <v>1.6203514840983633</v>
      </c>
      <c r="E217" s="1">
        <v>98.707016027783666</v>
      </c>
      <c r="F217" s="1">
        <v>98.379648515901636</v>
      </c>
      <c r="G217" s="1">
        <v>12.329402386524842</v>
      </c>
      <c r="H217" s="1">
        <v>13.156015708675472</v>
      </c>
    </row>
    <row r="219" spans="2:8" x14ac:dyDescent="0.3">
      <c r="C219" s="25" t="s">
        <v>101</v>
      </c>
      <c r="D219" s="25"/>
      <c r="E219" s="25"/>
      <c r="F219" s="25"/>
      <c r="G219" s="25" t="s">
        <v>86</v>
      </c>
      <c r="H219" s="25"/>
    </row>
    <row r="220" spans="2:8" x14ac:dyDescent="0.3">
      <c r="B220" s="3" t="s">
        <v>195</v>
      </c>
      <c r="C220" s="26" t="s">
        <v>196</v>
      </c>
      <c r="D220" s="26"/>
      <c r="E220" s="26" t="s">
        <v>197</v>
      </c>
      <c r="F220" s="26"/>
      <c r="G220" s="25"/>
      <c r="H220" s="25"/>
    </row>
    <row r="221" spans="2:8" x14ac:dyDescent="0.3">
      <c r="C221" s="2" t="s">
        <v>102</v>
      </c>
      <c r="D221" s="2" t="s">
        <v>103</v>
      </c>
      <c r="E221" s="2" t="s">
        <v>102</v>
      </c>
      <c r="F221" s="2" t="s">
        <v>103</v>
      </c>
      <c r="G221" s="2" t="s">
        <v>102</v>
      </c>
      <c r="H221" s="2" t="s">
        <v>103</v>
      </c>
    </row>
    <row r="222" spans="2:8" x14ac:dyDescent="0.3">
      <c r="B222" s="1" t="s">
        <v>90</v>
      </c>
      <c r="C222" s="1">
        <v>0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</row>
    <row r="223" spans="2:8" x14ac:dyDescent="0.3">
      <c r="B223" s="1" t="s">
        <v>94</v>
      </c>
      <c r="C223" s="1">
        <v>0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</row>
    <row r="224" spans="2:8" x14ac:dyDescent="0.3">
      <c r="B224" s="1" t="s">
        <v>87</v>
      </c>
      <c r="C224" s="1">
        <v>0</v>
      </c>
      <c r="D224" s="1">
        <v>0</v>
      </c>
      <c r="E224" s="1">
        <v>100</v>
      </c>
      <c r="F224" s="1">
        <v>100</v>
      </c>
      <c r="G224" s="1">
        <v>4.9277494605710999</v>
      </c>
      <c r="H224" s="1">
        <v>7.9387110367271916</v>
      </c>
    </row>
    <row r="226" spans="2:8" x14ac:dyDescent="0.3">
      <c r="C226" s="25" t="s">
        <v>101</v>
      </c>
      <c r="D226" s="25"/>
      <c r="E226" s="25"/>
      <c r="F226" s="25"/>
      <c r="G226" s="25" t="s">
        <v>86</v>
      </c>
      <c r="H226" s="25"/>
    </row>
    <row r="227" spans="2:8" x14ac:dyDescent="0.3">
      <c r="B227" s="3" t="s">
        <v>198</v>
      </c>
      <c r="C227" s="26" t="s">
        <v>199</v>
      </c>
      <c r="D227" s="26"/>
      <c r="E227" s="26" t="s">
        <v>200</v>
      </c>
      <c r="F227" s="26"/>
      <c r="G227" s="25"/>
      <c r="H227" s="25"/>
    </row>
    <row r="228" spans="2:8" x14ac:dyDescent="0.3">
      <c r="C228" s="2" t="s">
        <v>102</v>
      </c>
      <c r="D228" s="2" t="s">
        <v>103</v>
      </c>
      <c r="E228" s="2" t="s">
        <v>102</v>
      </c>
      <c r="F228" s="2" t="s">
        <v>103</v>
      </c>
      <c r="G228" s="2" t="s">
        <v>102</v>
      </c>
      <c r="H228" s="2" t="s">
        <v>103</v>
      </c>
    </row>
    <row r="229" spans="2:8" x14ac:dyDescent="0.3">
      <c r="B229" s="1" t="s">
        <v>90</v>
      </c>
      <c r="C229" s="1">
        <v>64.175060784994784</v>
      </c>
      <c r="D229" s="1">
        <v>64.600938967136145</v>
      </c>
      <c r="E229" s="1">
        <v>35.824939215005209</v>
      </c>
      <c r="F229" s="1">
        <v>35.399061032863848</v>
      </c>
      <c r="G229" s="1">
        <v>2.9747986808053257</v>
      </c>
      <c r="H229" s="1">
        <v>3.8989449870357538</v>
      </c>
    </row>
    <row r="230" spans="2:8" x14ac:dyDescent="0.3">
      <c r="B230" s="1" t="s">
        <v>94</v>
      </c>
      <c r="C230" s="1">
        <v>100</v>
      </c>
      <c r="D230" s="1">
        <v>100</v>
      </c>
      <c r="E230" s="1">
        <v>0</v>
      </c>
      <c r="F230" s="1">
        <v>0</v>
      </c>
      <c r="G230" s="1">
        <v>29.421371051658664</v>
      </c>
      <c r="H230" s="1">
        <v>27.805798286613896</v>
      </c>
    </row>
    <row r="231" spans="2:8" x14ac:dyDescent="0.3">
      <c r="B231" s="1" t="s">
        <v>87</v>
      </c>
      <c r="C231" s="1">
        <v>4.5450494608323675</v>
      </c>
      <c r="D231" s="1">
        <v>4.4858587750515078</v>
      </c>
      <c r="E231" s="1">
        <v>95.454950539167626</v>
      </c>
      <c r="F231" s="1">
        <v>95.514141224948489</v>
      </c>
      <c r="G231" s="1">
        <v>0.92537050321841385</v>
      </c>
      <c r="H231" s="1">
        <v>2.8111235435116337</v>
      </c>
    </row>
  </sheetData>
  <mergeCells count="134">
    <mergeCell ref="C2:H2"/>
    <mergeCell ref="I2:K3"/>
    <mergeCell ref="I177:K178"/>
    <mergeCell ref="C178:E178"/>
    <mergeCell ref="F178:H178"/>
    <mergeCell ref="C9:H9"/>
    <mergeCell ref="I9:K10"/>
    <mergeCell ref="C10:E10"/>
    <mergeCell ref="F10:H10"/>
    <mergeCell ref="C16:H16"/>
    <mergeCell ref="I16:K17"/>
    <mergeCell ref="C17:E17"/>
    <mergeCell ref="F17:H17"/>
    <mergeCell ref="C3:E3"/>
    <mergeCell ref="F3:H3"/>
    <mergeCell ref="C51:F51"/>
    <mergeCell ref="G51:H52"/>
    <mergeCell ref="C58:F58"/>
    <mergeCell ref="G58:H59"/>
    <mergeCell ref="C59:D59"/>
    <mergeCell ref="E59:F59"/>
    <mergeCell ref="C44:H44"/>
    <mergeCell ref="I44:K45"/>
    <mergeCell ref="C45:E45"/>
    <mergeCell ref="L30:N31"/>
    <mergeCell ref="I31:K31"/>
    <mergeCell ref="C30:K30"/>
    <mergeCell ref="C37:K37"/>
    <mergeCell ref="L37:N38"/>
    <mergeCell ref="C38:E38"/>
    <mergeCell ref="F38:H38"/>
    <mergeCell ref="I38:K38"/>
    <mergeCell ref="C23:H23"/>
    <mergeCell ref="I23:K24"/>
    <mergeCell ref="C24:E24"/>
    <mergeCell ref="F24:H24"/>
    <mergeCell ref="C31:E31"/>
    <mergeCell ref="F31:H31"/>
    <mergeCell ref="F45:H45"/>
    <mergeCell ref="C52:D52"/>
    <mergeCell ref="C65:F65"/>
    <mergeCell ref="G65:H66"/>
    <mergeCell ref="C66:D66"/>
    <mergeCell ref="E66:F66"/>
    <mergeCell ref="C72:F72"/>
    <mergeCell ref="G72:H73"/>
    <mergeCell ref="C73:D73"/>
    <mergeCell ref="E73:F73"/>
    <mergeCell ref="E52:F52"/>
    <mergeCell ref="C93:F93"/>
    <mergeCell ref="G93:H94"/>
    <mergeCell ref="C94:D94"/>
    <mergeCell ref="E94:F94"/>
    <mergeCell ref="C100:F100"/>
    <mergeCell ref="G100:H101"/>
    <mergeCell ref="C101:D101"/>
    <mergeCell ref="E101:F101"/>
    <mergeCell ref="C79:F79"/>
    <mergeCell ref="G79:H80"/>
    <mergeCell ref="C80:D80"/>
    <mergeCell ref="E80:F80"/>
    <mergeCell ref="C86:F86"/>
    <mergeCell ref="G86:H87"/>
    <mergeCell ref="C87:D87"/>
    <mergeCell ref="E87:F87"/>
    <mergeCell ref="C121:F121"/>
    <mergeCell ref="G121:H122"/>
    <mergeCell ref="C122:D122"/>
    <mergeCell ref="E122:F122"/>
    <mergeCell ref="C128:H128"/>
    <mergeCell ref="I128:K129"/>
    <mergeCell ref="C129:E129"/>
    <mergeCell ref="F129:H129"/>
    <mergeCell ref="C107:F107"/>
    <mergeCell ref="G107:H108"/>
    <mergeCell ref="C108:D108"/>
    <mergeCell ref="E108:F108"/>
    <mergeCell ref="C114:F114"/>
    <mergeCell ref="G114:H115"/>
    <mergeCell ref="C115:D115"/>
    <mergeCell ref="E115:F115"/>
    <mergeCell ref="C149:H149"/>
    <mergeCell ref="I149:K150"/>
    <mergeCell ref="C150:E150"/>
    <mergeCell ref="F150:H150"/>
    <mergeCell ref="C156:H156"/>
    <mergeCell ref="I156:K157"/>
    <mergeCell ref="C157:E157"/>
    <mergeCell ref="F157:H157"/>
    <mergeCell ref="C135:H135"/>
    <mergeCell ref="I135:K136"/>
    <mergeCell ref="C136:E136"/>
    <mergeCell ref="F136:H136"/>
    <mergeCell ref="C142:H142"/>
    <mergeCell ref="I142:K143"/>
    <mergeCell ref="C143:E143"/>
    <mergeCell ref="F143:H143"/>
    <mergeCell ref="I184:K185"/>
    <mergeCell ref="C185:E185"/>
    <mergeCell ref="F185:H185"/>
    <mergeCell ref="C191:F191"/>
    <mergeCell ref="G191:H192"/>
    <mergeCell ref="C192:D192"/>
    <mergeCell ref="E192:F192"/>
    <mergeCell ref="C163:H163"/>
    <mergeCell ref="I163:K164"/>
    <mergeCell ref="C164:E164"/>
    <mergeCell ref="F164:H164"/>
    <mergeCell ref="C170:H170"/>
    <mergeCell ref="I170:K171"/>
    <mergeCell ref="C171:E171"/>
    <mergeCell ref="F171:H171"/>
    <mergeCell ref="C177:H177"/>
    <mergeCell ref="C198:F198"/>
    <mergeCell ref="G198:H199"/>
    <mergeCell ref="C199:D199"/>
    <mergeCell ref="E199:F199"/>
    <mergeCell ref="C205:F205"/>
    <mergeCell ref="G205:H206"/>
    <mergeCell ref="C206:D206"/>
    <mergeCell ref="E206:F206"/>
    <mergeCell ref="C184:H184"/>
    <mergeCell ref="C226:F226"/>
    <mergeCell ref="G226:H227"/>
    <mergeCell ref="C227:D227"/>
    <mergeCell ref="E227:F227"/>
    <mergeCell ref="C212:F212"/>
    <mergeCell ref="G212:H213"/>
    <mergeCell ref="C213:D213"/>
    <mergeCell ref="E213:F213"/>
    <mergeCell ref="C219:F219"/>
    <mergeCell ref="G219:H220"/>
    <mergeCell ref="C220:D220"/>
    <mergeCell ref="E220:F220"/>
  </mergeCells>
  <phoneticPr fontId="4" type="noConversion"/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3:H18"/>
  <sheetViews>
    <sheetView workbookViewId="0">
      <selection sqref="A1:XFD1048576"/>
    </sheetView>
  </sheetViews>
  <sheetFormatPr defaultColWidth="9" defaultRowHeight="14.15" x14ac:dyDescent="0.3"/>
  <cols>
    <col min="1" max="2" width="9" style="1"/>
    <col min="3" max="3" width="19.4609375" style="1" bestFit="1" customWidth="1"/>
    <col min="4" max="4" width="9.84375" style="1" bestFit="1" customWidth="1"/>
    <col min="5" max="6" width="5.53515625" style="1" bestFit="1" customWidth="1"/>
    <col min="7" max="16384" width="9" style="1"/>
  </cols>
  <sheetData>
    <row r="3" spans="3:6" x14ac:dyDescent="0.35">
      <c r="C3" s="27"/>
      <c r="D3" s="27"/>
      <c r="E3" s="15" t="s">
        <v>20</v>
      </c>
      <c r="F3" s="15" t="s">
        <v>21</v>
      </c>
    </row>
    <row r="4" spans="3:6" x14ac:dyDescent="0.35">
      <c r="C4" s="27" t="s">
        <v>201</v>
      </c>
      <c r="D4" s="11" t="s">
        <v>25</v>
      </c>
      <c r="E4" s="14">
        <v>1.65473914</v>
      </c>
      <c r="F4" s="14">
        <v>0.28834988</v>
      </c>
    </row>
    <row r="5" spans="3:6" x14ac:dyDescent="0.35">
      <c r="C5" s="27"/>
      <c r="D5" s="11" t="s">
        <v>26</v>
      </c>
      <c r="E5" s="14">
        <v>1.7123845600000001</v>
      </c>
      <c r="F5" s="14">
        <v>0.29051233999999998</v>
      </c>
    </row>
    <row r="6" spans="3:6" x14ac:dyDescent="0.35">
      <c r="C6" s="27"/>
      <c r="D6" s="11" t="s">
        <v>44</v>
      </c>
      <c r="E6" s="14">
        <v>1.7632608599999999</v>
      </c>
      <c r="F6" s="14">
        <v>0.29115012000000001</v>
      </c>
    </row>
    <row r="17" spans="6:8" x14ac:dyDescent="0.3">
      <c r="G17" s="22"/>
      <c r="H17" s="22"/>
    </row>
    <row r="18" spans="6:8" x14ac:dyDescent="0.35">
      <c r="F18" s="16"/>
      <c r="G18" s="16"/>
      <c r="H18" s="16"/>
    </row>
  </sheetData>
  <mergeCells count="2">
    <mergeCell ref="C3:D3"/>
    <mergeCell ref="C4:C6"/>
  </mergeCells>
  <phoneticPr fontId="4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024B4-B230-4BB8-B699-FF41E90FD0E2}">
  <dimension ref="B3:Z7"/>
  <sheetViews>
    <sheetView topLeftCell="B1" zoomScaleNormal="100" workbookViewId="0">
      <selection activeCell="B1" sqref="A1:XFD1048576"/>
    </sheetView>
  </sheetViews>
  <sheetFormatPr defaultRowHeight="14.15" x14ac:dyDescent="0.3"/>
  <cols>
    <col min="1" max="1" width="8.921875" style="1" customWidth="1"/>
    <col min="2" max="2" width="20.765625" style="1" bestFit="1" customWidth="1"/>
    <col min="3" max="3" width="3.3828125" style="1" bestFit="1" customWidth="1"/>
    <col min="4" max="4" width="9.84375" style="1" bestFit="1" customWidth="1"/>
    <col min="5" max="5" width="4.4609375" style="1" bestFit="1" customWidth="1"/>
    <col min="6" max="6" width="6.3046875" style="1" bestFit="1" customWidth="1"/>
    <col min="7" max="7" width="6.15234375" style="1" bestFit="1" customWidth="1"/>
    <col min="8" max="8" width="5.921875" style="1" bestFit="1" customWidth="1"/>
    <col min="9" max="9" width="6.15234375" style="1" bestFit="1" customWidth="1"/>
    <col min="10" max="10" width="6.69140625" style="1" bestFit="1" customWidth="1"/>
    <col min="11" max="11" width="7.07421875" style="1" bestFit="1" customWidth="1"/>
    <col min="12" max="12" width="6.84375" style="1" bestFit="1" customWidth="1"/>
    <col min="13" max="14" width="7" style="1" bestFit="1" customWidth="1"/>
    <col min="15" max="15" width="7.07421875" style="1" bestFit="1" customWidth="1"/>
    <col min="16" max="16" width="7.3828125" style="1" bestFit="1" customWidth="1"/>
    <col min="17" max="19" width="7.07421875" style="1" bestFit="1" customWidth="1"/>
    <col min="20" max="21" width="7" style="1" bestFit="1" customWidth="1"/>
    <col min="22" max="22" width="6.84375" style="1" bestFit="1" customWidth="1"/>
    <col min="23" max="23" width="7.765625" style="1" bestFit="1" customWidth="1"/>
    <col min="24" max="24" width="7" style="1" bestFit="1" customWidth="1"/>
    <col min="25" max="25" width="7.23046875" style="1" bestFit="1" customWidth="1"/>
    <col min="26" max="26" width="7.3046875" style="1" bestFit="1" customWidth="1"/>
    <col min="27" max="16384" width="9.23046875" style="1"/>
  </cols>
  <sheetData>
    <row r="3" spans="2:26" x14ac:dyDescent="0.3">
      <c r="B3" s="25"/>
      <c r="C3" s="25"/>
      <c r="D3" s="25"/>
      <c r="E3" s="11" t="s">
        <v>0</v>
      </c>
      <c r="F3" s="11" t="s">
        <v>1</v>
      </c>
      <c r="G3" s="11" t="s">
        <v>2</v>
      </c>
      <c r="H3" s="11" t="s">
        <v>3</v>
      </c>
      <c r="I3" s="11" t="s">
        <v>4</v>
      </c>
      <c r="J3" s="11" t="s">
        <v>22</v>
      </c>
      <c r="K3" s="11" t="s">
        <v>23</v>
      </c>
      <c r="L3" s="11" t="s">
        <v>5</v>
      </c>
      <c r="M3" s="11" t="s">
        <v>6</v>
      </c>
      <c r="N3" s="11" t="s">
        <v>7</v>
      </c>
      <c r="O3" s="11" t="s">
        <v>8</v>
      </c>
      <c r="P3" s="11" t="s">
        <v>9</v>
      </c>
      <c r="Q3" s="11" t="s">
        <v>10</v>
      </c>
      <c r="R3" s="11" t="s">
        <v>11</v>
      </c>
      <c r="S3" s="11" t="s">
        <v>12</v>
      </c>
      <c r="T3" s="11" t="s">
        <v>13</v>
      </c>
      <c r="U3" s="11" t="s">
        <v>14</v>
      </c>
      <c r="V3" s="11" t="s">
        <v>15</v>
      </c>
      <c r="W3" s="11" t="s">
        <v>16</v>
      </c>
      <c r="X3" s="11" t="s">
        <v>17</v>
      </c>
      <c r="Y3" s="11" t="s">
        <v>18</v>
      </c>
      <c r="Z3" s="11" t="s">
        <v>19</v>
      </c>
    </row>
    <row r="4" spans="2:26" x14ac:dyDescent="0.3">
      <c r="B4" s="27" t="s">
        <v>24</v>
      </c>
      <c r="C4" s="28" t="s">
        <v>20</v>
      </c>
      <c r="D4" s="11" t="s">
        <v>25</v>
      </c>
      <c r="E4" s="11">
        <v>1</v>
      </c>
      <c r="F4" s="11">
        <v>0.4</v>
      </c>
      <c r="G4" s="11">
        <v>0.53</v>
      </c>
      <c r="H4" s="11">
        <v>0.05</v>
      </c>
      <c r="I4" s="11">
        <v>0.1</v>
      </c>
      <c r="J4" s="11">
        <v>0.38</v>
      </c>
      <c r="K4" s="11">
        <v>1.55</v>
      </c>
      <c r="L4" s="11">
        <v>0.53</v>
      </c>
      <c r="M4" s="11">
        <v>0.91</v>
      </c>
      <c r="N4" s="11">
        <v>0.34</v>
      </c>
      <c r="O4" s="11">
        <v>0.51</v>
      </c>
      <c r="P4" s="11">
        <v>0.77</v>
      </c>
      <c r="Q4" s="11">
        <v>4.58</v>
      </c>
      <c r="R4" s="11">
        <v>0.75</v>
      </c>
      <c r="S4" s="11">
        <v>3.96</v>
      </c>
      <c r="T4" s="11">
        <v>1.23</v>
      </c>
      <c r="U4" s="11">
        <v>0.36</v>
      </c>
      <c r="V4" s="11">
        <v>0.21</v>
      </c>
      <c r="W4" s="11">
        <v>1.03</v>
      </c>
      <c r="X4" s="11">
        <v>0.7</v>
      </c>
      <c r="Y4" s="11">
        <v>2.9</v>
      </c>
      <c r="Z4" s="11">
        <v>0.6</v>
      </c>
    </row>
    <row r="5" spans="2:26" x14ac:dyDescent="0.3">
      <c r="B5" s="27"/>
      <c r="C5" s="28"/>
      <c r="D5" s="11" t="s">
        <v>26</v>
      </c>
      <c r="E5" s="11">
        <v>1</v>
      </c>
      <c r="F5" s="11">
        <v>0.34</v>
      </c>
      <c r="G5" s="11">
        <v>0.71</v>
      </c>
      <c r="H5" s="11">
        <v>7.0000000000000007E-2</v>
      </c>
      <c r="I5" s="11">
        <v>0.09</v>
      </c>
      <c r="J5" s="11">
        <v>0.52</v>
      </c>
      <c r="K5" s="11">
        <v>1.45</v>
      </c>
      <c r="L5" s="11">
        <v>0.71</v>
      </c>
      <c r="M5" s="11">
        <v>0.83</v>
      </c>
      <c r="N5" s="11">
        <v>0.24</v>
      </c>
      <c r="O5" s="11">
        <v>0.62</v>
      </c>
      <c r="P5" s="11">
        <v>0.65</v>
      </c>
      <c r="Q5" s="11">
        <v>4.45</v>
      </c>
      <c r="R5" s="11">
        <v>0.61</v>
      </c>
      <c r="S5" s="11">
        <v>3.75</v>
      </c>
      <c r="T5" s="11">
        <v>1.18</v>
      </c>
      <c r="U5" s="11">
        <v>0.45</v>
      </c>
      <c r="V5" s="11">
        <v>0.28999999999999998</v>
      </c>
      <c r="W5" s="11">
        <v>1.2</v>
      </c>
      <c r="X5" s="11">
        <v>0.65</v>
      </c>
      <c r="Y5" s="11">
        <v>2.68</v>
      </c>
      <c r="Z5" s="11">
        <v>0.76</v>
      </c>
    </row>
    <row r="6" spans="2:26" x14ac:dyDescent="0.3">
      <c r="B6" s="27"/>
      <c r="C6" s="28" t="s">
        <v>21</v>
      </c>
      <c r="D6" s="11" t="s">
        <v>25</v>
      </c>
      <c r="E6" s="11">
        <v>1</v>
      </c>
      <c r="F6" s="11">
        <v>0</v>
      </c>
      <c r="G6" s="11">
        <v>0</v>
      </c>
      <c r="H6" s="11">
        <v>0.6</v>
      </c>
      <c r="I6" s="11">
        <v>0.86</v>
      </c>
      <c r="J6" s="11">
        <v>0.88</v>
      </c>
      <c r="K6" s="11">
        <v>0.93</v>
      </c>
      <c r="L6" s="11">
        <v>0</v>
      </c>
      <c r="M6" s="11">
        <v>0.71</v>
      </c>
      <c r="N6" s="11">
        <v>0</v>
      </c>
      <c r="O6" s="11">
        <v>0</v>
      </c>
      <c r="P6" s="11">
        <v>97.8</v>
      </c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0.87</v>
      </c>
      <c r="W6" s="11">
        <v>0</v>
      </c>
      <c r="X6" s="11">
        <v>0</v>
      </c>
      <c r="Y6" s="11">
        <v>0</v>
      </c>
      <c r="Z6" s="11">
        <v>0</v>
      </c>
    </row>
    <row r="7" spans="2:26" x14ac:dyDescent="0.3">
      <c r="B7" s="27"/>
      <c r="C7" s="28"/>
      <c r="D7" s="11" t="s">
        <v>26</v>
      </c>
      <c r="E7" s="11">
        <v>1</v>
      </c>
      <c r="F7" s="11">
        <v>0</v>
      </c>
      <c r="G7" s="11">
        <v>0</v>
      </c>
      <c r="H7" s="11">
        <v>0.71</v>
      </c>
      <c r="I7" s="11">
        <v>0.81</v>
      </c>
      <c r="J7" s="11">
        <v>0.92</v>
      </c>
      <c r="K7" s="11">
        <v>1.1000000000000001</v>
      </c>
      <c r="L7" s="11">
        <v>0</v>
      </c>
      <c r="M7" s="11">
        <v>0.76</v>
      </c>
      <c r="N7" s="11">
        <v>0</v>
      </c>
      <c r="O7" s="11">
        <v>0</v>
      </c>
      <c r="P7" s="11">
        <v>97.5</v>
      </c>
      <c r="Q7" s="11">
        <v>0</v>
      </c>
      <c r="R7" s="11">
        <v>0</v>
      </c>
      <c r="S7" s="11">
        <v>0</v>
      </c>
      <c r="T7" s="11">
        <v>0</v>
      </c>
      <c r="U7" s="11">
        <v>0</v>
      </c>
      <c r="V7" s="11">
        <v>0.83</v>
      </c>
      <c r="W7" s="11">
        <v>0</v>
      </c>
      <c r="X7" s="11">
        <v>0</v>
      </c>
      <c r="Y7" s="11">
        <v>0</v>
      </c>
      <c r="Z7" s="11">
        <v>0</v>
      </c>
    </row>
  </sheetData>
  <mergeCells count="4">
    <mergeCell ref="B3:D3"/>
    <mergeCell ref="B4:B7"/>
    <mergeCell ref="C4:C5"/>
    <mergeCell ref="C6:C7"/>
  </mergeCells>
  <phoneticPr fontId="4" type="noConversion"/>
  <pageMargins left="0.7" right="0.7" top="0.75" bottom="0.75" header="0.3" footer="0.3"/>
  <pageSetup paperSize="9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2C5DD-D2A2-4714-B702-4AF59C6B459B}">
  <dimension ref="C3:P61"/>
  <sheetViews>
    <sheetView tabSelected="1" zoomScaleNormal="100" workbookViewId="0">
      <selection sqref="A1:XFD1048576"/>
    </sheetView>
  </sheetViews>
  <sheetFormatPr defaultRowHeight="14.15" x14ac:dyDescent="0.3"/>
  <cols>
    <col min="1" max="2" width="9.23046875" style="11"/>
    <col min="3" max="3" width="19.23046875" style="11" bestFit="1" customWidth="1"/>
    <col min="4" max="4" width="3.4609375" style="11" bestFit="1" customWidth="1"/>
    <col min="5" max="5" width="9.84375" style="11" bestFit="1" customWidth="1"/>
    <col min="6" max="11" width="7.765625" style="11" bestFit="1" customWidth="1"/>
    <col min="12" max="16" width="6.69140625" style="11" bestFit="1" customWidth="1"/>
    <col min="17" max="16384" width="9.23046875" style="11"/>
  </cols>
  <sheetData>
    <row r="3" spans="3:13" x14ac:dyDescent="0.3">
      <c r="C3" s="25" t="s">
        <v>47</v>
      </c>
      <c r="D3" s="25"/>
      <c r="E3" s="25"/>
      <c r="F3" s="11">
        <v>20</v>
      </c>
      <c r="G3" s="11">
        <v>30</v>
      </c>
      <c r="H3" s="11">
        <v>40</v>
      </c>
      <c r="I3" s="11">
        <v>50</v>
      </c>
      <c r="J3" s="11">
        <v>60</v>
      </c>
      <c r="K3" s="11">
        <v>70</v>
      </c>
      <c r="L3" s="11">
        <v>80</v>
      </c>
      <c r="M3" s="11">
        <v>90</v>
      </c>
    </row>
    <row r="4" spans="3:13" x14ac:dyDescent="0.3">
      <c r="C4" s="27" t="s">
        <v>45</v>
      </c>
      <c r="D4" s="28" t="s">
        <v>20</v>
      </c>
      <c r="E4" s="11" t="s">
        <v>41</v>
      </c>
      <c r="F4" s="17">
        <v>35.721788594237324</v>
      </c>
      <c r="G4" s="17">
        <v>67.078747919393678</v>
      </c>
      <c r="H4" s="17">
        <v>72.837381425639535</v>
      </c>
      <c r="I4" s="17">
        <v>93.577188474652957</v>
      </c>
      <c r="J4" s="17">
        <v>109.29364425267853</v>
      </c>
      <c r="K4" s="17">
        <v>12.318805449168565</v>
      </c>
      <c r="L4" s="17">
        <v>8.2884891970071592</v>
      </c>
      <c r="M4" s="17">
        <v>8.6852184030639457</v>
      </c>
    </row>
    <row r="5" spans="3:13" x14ac:dyDescent="0.3">
      <c r="C5" s="27"/>
      <c r="D5" s="28"/>
      <c r="E5" s="11" t="s">
        <v>42</v>
      </c>
      <c r="F5" s="17">
        <v>30.776005559056902</v>
      </c>
      <c r="G5" s="17">
        <v>52.102422391364065</v>
      </c>
      <c r="H5" s="17">
        <v>69.670011796835865</v>
      </c>
      <c r="I5" s="17">
        <v>100</v>
      </c>
      <c r="J5" s="17">
        <v>94.588807549974945</v>
      </c>
      <c r="K5" s="17">
        <v>12.07802071718298</v>
      </c>
      <c r="L5" s="17">
        <v>7.9006480179699743</v>
      </c>
      <c r="M5" s="17">
        <v>9.0261954396341366</v>
      </c>
    </row>
    <row r="6" spans="3:13" x14ac:dyDescent="0.3">
      <c r="C6" s="27"/>
      <c r="D6" s="28"/>
      <c r="E6" s="11" t="s">
        <v>43</v>
      </c>
      <c r="F6" s="17">
        <v>31.949225125644382</v>
      </c>
      <c r="G6" s="17">
        <v>61.353242513857239</v>
      </c>
      <c r="H6" s="17">
        <v>74.210985601396231</v>
      </c>
      <c r="I6" s="17">
        <v>96.847982417866547</v>
      </c>
      <c r="J6" s="17">
        <v>94.411047009582902</v>
      </c>
      <c r="K6" s="17">
        <v>12.467477901132819</v>
      </c>
      <c r="L6" s="17">
        <v>7.334238296084421</v>
      </c>
      <c r="M6" s="17">
        <v>7.4837187505050018</v>
      </c>
    </row>
    <row r="8" spans="3:13" x14ac:dyDescent="0.3">
      <c r="C8" s="25" t="s">
        <v>48</v>
      </c>
      <c r="D8" s="25"/>
      <c r="E8" s="25"/>
      <c r="F8" s="11">
        <v>20</v>
      </c>
      <c r="G8" s="11">
        <v>30</v>
      </c>
      <c r="H8" s="11">
        <v>40</v>
      </c>
      <c r="I8" s="11">
        <v>50</v>
      </c>
      <c r="J8" s="11">
        <v>60</v>
      </c>
      <c r="K8" s="11">
        <v>70</v>
      </c>
      <c r="L8" s="11">
        <v>80</v>
      </c>
      <c r="M8" s="11">
        <v>90</v>
      </c>
    </row>
    <row r="9" spans="3:13" x14ac:dyDescent="0.3">
      <c r="C9" s="27" t="s">
        <v>45</v>
      </c>
      <c r="D9" s="28" t="s">
        <v>20</v>
      </c>
      <c r="E9" s="11" t="s">
        <v>41</v>
      </c>
      <c r="F9" s="17">
        <v>28.134135392587766</v>
      </c>
      <c r="G9" s="17">
        <v>37.085044662469855</v>
      </c>
      <c r="H9" s="17">
        <v>54.429713672641697</v>
      </c>
      <c r="I9" s="17">
        <v>85.178557390002027</v>
      </c>
      <c r="J9" s="17">
        <v>99.779743104089548</v>
      </c>
      <c r="K9" s="17">
        <v>17.568493354306405</v>
      </c>
      <c r="L9" s="17">
        <v>6.9415275416912472</v>
      </c>
      <c r="M9" s="17">
        <v>7.1696790683939273</v>
      </c>
    </row>
    <row r="10" spans="3:13" x14ac:dyDescent="0.3">
      <c r="C10" s="27"/>
      <c r="D10" s="28"/>
      <c r="E10" s="11" t="s">
        <v>42</v>
      </c>
      <c r="F10" s="17">
        <v>24.944242105534368</v>
      </c>
      <c r="G10" s="17">
        <v>33.952825121706134</v>
      </c>
      <c r="H10" s="17">
        <v>44.874022832989915</v>
      </c>
      <c r="I10" s="17">
        <v>89.342264946451948</v>
      </c>
      <c r="J10" s="17">
        <v>97.783755822703114</v>
      </c>
      <c r="K10" s="17">
        <v>18.18683453052051</v>
      </c>
      <c r="L10" s="17">
        <v>6.6854310038997502</v>
      </c>
      <c r="M10" s="17">
        <v>6.8402516504402824</v>
      </c>
    </row>
    <row r="11" spans="3:13" x14ac:dyDescent="0.3">
      <c r="C11" s="27"/>
      <c r="D11" s="28"/>
      <c r="E11" s="11" t="s">
        <v>43</v>
      </c>
      <c r="F11" s="17">
        <v>29.818037018221073</v>
      </c>
      <c r="G11" s="17">
        <v>45.458787054391031</v>
      </c>
      <c r="H11" s="17">
        <v>44.845830082441083</v>
      </c>
      <c r="I11" s="17">
        <v>88.549581254248736</v>
      </c>
      <c r="J11" s="17">
        <v>100</v>
      </c>
      <c r="K11" s="17">
        <v>17.010418930730065</v>
      </c>
      <c r="L11" s="17">
        <v>6.9020213558020922</v>
      </c>
      <c r="M11" s="17">
        <v>6.2161298868260086</v>
      </c>
    </row>
    <row r="13" spans="3:13" x14ac:dyDescent="0.3">
      <c r="C13" s="25" t="s">
        <v>49</v>
      </c>
      <c r="D13" s="25"/>
      <c r="E13" s="25"/>
      <c r="F13" s="11">
        <v>20</v>
      </c>
      <c r="G13" s="11">
        <v>30</v>
      </c>
      <c r="H13" s="11">
        <v>40</v>
      </c>
      <c r="I13" s="11">
        <v>50</v>
      </c>
      <c r="J13" s="11">
        <v>60</v>
      </c>
      <c r="K13" s="11">
        <v>70</v>
      </c>
      <c r="L13" s="11">
        <v>80</v>
      </c>
      <c r="M13" s="11">
        <v>90</v>
      </c>
    </row>
    <row r="14" spans="3:13" x14ac:dyDescent="0.3">
      <c r="C14" s="27" t="s">
        <v>45</v>
      </c>
      <c r="D14" s="28" t="s">
        <v>21</v>
      </c>
      <c r="E14" s="11" t="s">
        <v>41</v>
      </c>
      <c r="F14" s="17">
        <v>81.93676164122283</v>
      </c>
      <c r="G14" s="17">
        <v>98.567544973110827</v>
      </c>
      <c r="H14" s="17">
        <v>99.324055255749826</v>
      </c>
      <c r="I14" s="17">
        <v>99.373998765292285</v>
      </c>
      <c r="J14" s="17">
        <v>99.556269237033661</v>
      </c>
      <c r="K14" s="17">
        <v>45.741842908132199</v>
      </c>
      <c r="L14" s="17">
        <v>27.913213755518534</v>
      </c>
      <c r="M14" s="17">
        <v>34.152062141222949</v>
      </c>
    </row>
    <row r="15" spans="3:13" x14ac:dyDescent="0.3">
      <c r="C15" s="27"/>
      <c r="D15" s="28"/>
      <c r="E15" s="11" t="s">
        <v>42</v>
      </c>
      <c r="F15" s="17">
        <v>84.407675627100588</v>
      </c>
      <c r="G15" s="17">
        <v>97.460435184109258</v>
      </c>
      <c r="H15" s="17">
        <v>98.859602726773133</v>
      </c>
      <c r="I15" s="17">
        <v>99.602945414176148</v>
      </c>
      <c r="J15" s="17">
        <v>100</v>
      </c>
      <c r="K15" s="17">
        <v>47.998636072971081</v>
      </c>
      <c r="L15" s="17">
        <v>28.009600061317759</v>
      </c>
      <c r="M15" s="17">
        <v>29.478425656764522</v>
      </c>
    </row>
    <row r="16" spans="3:13" x14ac:dyDescent="0.3">
      <c r="C16" s="27"/>
      <c r="D16" s="28"/>
      <c r="E16" s="11" t="s">
        <v>43</v>
      </c>
      <c r="F16" s="17">
        <v>77.292506581955138</v>
      </c>
      <c r="G16" s="17">
        <v>97.275523823397975</v>
      </c>
      <c r="H16" s="17">
        <v>101.4665532026122</v>
      </c>
      <c r="I16" s="17">
        <v>97.606617600996799</v>
      </c>
      <c r="J16" s="17">
        <v>99.811686191639112</v>
      </c>
      <c r="K16" s="17">
        <v>47.533409702110177</v>
      </c>
      <c r="L16" s="17">
        <v>28.887640369390354</v>
      </c>
      <c r="M16" s="17">
        <v>28.062958301714318</v>
      </c>
    </row>
    <row r="18" spans="3:13" x14ac:dyDescent="0.3">
      <c r="C18" s="25" t="s">
        <v>50</v>
      </c>
      <c r="D18" s="25"/>
      <c r="E18" s="25"/>
      <c r="F18" s="11">
        <v>20</v>
      </c>
      <c r="G18" s="11">
        <v>30</v>
      </c>
      <c r="H18" s="11">
        <v>40</v>
      </c>
      <c r="I18" s="11">
        <v>50</v>
      </c>
      <c r="J18" s="11">
        <v>60</v>
      </c>
      <c r="K18" s="11">
        <v>70</v>
      </c>
      <c r="L18" s="11">
        <v>80</v>
      </c>
      <c r="M18" s="11">
        <v>90</v>
      </c>
    </row>
    <row r="19" spans="3:13" x14ac:dyDescent="0.3">
      <c r="C19" s="27" t="s">
        <v>45</v>
      </c>
      <c r="D19" s="28" t="s">
        <v>20</v>
      </c>
      <c r="E19" s="11" t="s">
        <v>41</v>
      </c>
      <c r="F19" s="17">
        <v>100</v>
      </c>
      <c r="G19" s="17">
        <v>76.854553594862054</v>
      </c>
      <c r="H19" s="17">
        <v>91.79750822101802</v>
      </c>
      <c r="I19" s="17">
        <v>76.479397279730748</v>
      </c>
      <c r="J19" s="17">
        <v>34.145400089543479</v>
      </c>
      <c r="K19" s="17">
        <v>0.898522532536705</v>
      </c>
      <c r="L19" s="17">
        <v>0</v>
      </c>
      <c r="M19" s="17">
        <v>0</v>
      </c>
    </row>
    <row r="20" spans="3:13" x14ac:dyDescent="0.3">
      <c r="C20" s="27"/>
      <c r="D20" s="28"/>
      <c r="E20" s="11" t="s">
        <v>42</v>
      </c>
      <c r="F20" s="17">
        <v>84.715853827983878</v>
      </c>
      <c r="G20" s="17">
        <v>74.018495360721289</v>
      </c>
      <c r="H20" s="17">
        <v>99.752983496209851</v>
      </c>
      <c r="I20" s="17">
        <v>76.257082426319613</v>
      </c>
      <c r="J20" s="17">
        <v>57.460670341037158</v>
      </c>
      <c r="K20" s="17">
        <v>2.0131845058897997</v>
      </c>
      <c r="L20" s="17">
        <v>0</v>
      </c>
      <c r="M20" s="17">
        <v>0</v>
      </c>
    </row>
    <row r="21" spans="3:13" x14ac:dyDescent="0.3">
      <c r="C21" s="27"/>
      <c r="D21" s="28"/>
      <c r="E21" s="11" t="s">
        <v>43</v>
      </c>
      <c r="F21" s="17">
        <v>87.675420314019732</v>
      </c>
      <c r="G21" s="17">
        <v>77.774690071480407</v>
      </c>
      <c r="H21" s="17">
        <v>63.804362928998195</v>
      </c>
      <c r="I21" s="17">
        <v>88.041313510258902</v>
      </c>
      <c r="J21" s="17">
        <v>44.635882234881819</v>
      </c>
      <c r="K21" s="17">
        <v>0.10498201411081778</v>
      </c>
      <c r="L21" s="17">
        <v>0</v>
      </c>
      <c r="M21" s="17">
        <v>0</v>
      </c>
    </row>
    <row r="23" spans="3:13" x14ac:dyDescent="0.3">
      <c r="C23" s="25" t="s">
        <v>51</v>
      </c>
      <c r="D23" s="25"/>
      <c r="E23" s="25"/>
      <c r="F23" s="11">
        <v>20</v>
      </c>
      <c r="G23" s="11">
        <v>30</v>
      </c>
      <c r="H23" s="11">
        <v>40</v>
      </c>
      <c r="I23" s="11">
        <v>50</v>
      </c>
      <c r="J23" s="11">
        <v>60</v>
      </c>
      <c r="K23" s="11">
        <v>70</v>
      </c>
      <c r="L23" s="11">
        <v>80</v>
      </c>
      <c r="M23" s="11">
        <v>90</v>
      </c>
    </row>
    <row r="24" spans="3:13" x14ac:dyDescent="0.3">
      <c r="C24" s="27" t="s">
        <v>45</v>
      </c>
      <c r="D24" s="28" t="s">
        <v>20</v>
      </c>
      <c r="E24" s="11" t="s">
        <v>41</v>
      </c>
      <c r="F24" s="17">
        <v>47.092435870142793</v>
      </c>
      <c r="G24" s="17">
        <v>81.450337464517958</v>
      </c>
      <c r="H24" s="17">
        <v>62.737011101738105</v>
      </c>
      <c r="I24" s="17">
        <v>68.690285840215481</v>
      </c>
      <c r="J24" s="17">
        <v>34.316290918071189</v>
      </c>
      <c r="K24" s="17">
        <v>1.2202898683802598E-2</v>
      </c>
      <c r="L24" s="17">
        <v>1.4015210369515854E-3</v>
      </c>
      <c r="M24" s="17">
        <v>2.3439231135224791E-3</v>
      </c>
    </row>
    <row r="25" spans="3:13" x14ac:dyDescent="0.3">
      <c r="C25" s="27"/>
      <c r="D25" s="28"/>
      <c r="E25" s="11" t="s">
        <v>42</v>
      </c>
      <c r="F25" s="17">
        <v>50.278528141938317</v>
      </c>
      <c r="G25" s="17">
        <v>41.062004982165647</v>
      </c>
      <c r="H25" s="17">
        <v>52.028737947221138</v>
      </c>
      <c r="I25" s="17">
        <v>77.236036198871972</v>
      </c>
      <c r="J25" s="17">
        <v>89.775154946608097</v>
      </c>
      <c r="K25" s="17">
        <v>2.9963553203792514E-3</v>
      </c>
      <c r="L25" s="17">
        <v>2.0539532438083579E-3</v>
      </c>
      <c r="M25" s="17">
        <v>2.4405797367605194E-3</v>
      </c>
    </row>
    <row r="26" spans="3:13" x14ac:dyDescent="0.3">
      <c r="C26" s="27"/>
      <c r="D26" s="28"/>
      <c r="E26" s="11" t="s">
        <v>43</v>
      </c>
      <c r="F26" s="17">
        <v>44.444865974718013</v>
      </c>
      <c r="G26" s="17">
        <v>66.573868253639546</v>
      </c>
      <c r="H26" s="17">
        <v>62.216998468717442</v>
      </c>
      <c r="I26" s="17">
        <v>100</v>
      </c>
      <c r="J26" s="17">
        <v>62.016315154719472</v>
      </c>
      <c r="K26" s="17">
        <v>3.4796384365694535E-3</v>
      </c>
      <c r="L26" s="17">
        <v>1.4498493485706056E-3</v>
      </c>
      <c r="M26" s="17">
        <v>2.1264457112368882E-3</v>
      </c>
    </row>
    <row r="28" spans="3:13" x14ac:dyDescent="0.3">
      <c r="C28" s="25" t="s">
        <v>52</v>
      </c>
      <c r="D28" s="25"/>
      <c r="E28" s="25"/>
      <c r="F28" s="11">
        <v>20</v>
      </c>
      <c r="G28" s="11">
        <v>30</v>
      </c>
      <c r="H28" s="11">
        <v>40</v>
      </c>
      <c r="I28" s="11">
        <v>50</v>
      </c>
      <c r="J28" s="11">
        <v>60</v>
      </c>
      <c r="K28" s="11">
        <v>70</v>
      </c>
      <c r="L28" s="11">
        <v>80</v>
      </c>
      <c r="M28" s="11">
        <v>90</v>
      </c>
    </row>
    <row r="29" spans="3:13" x14ac:dyDescent="0.3">
      <c r="C29" s="27" t="s">
        <v>45</v>
      </c>
      <c r="D29" s="28" t="s">
        <v>21</v>
      </c>
      <c r="E29" s="11" t="s">
        <v>41</v>
      </c>
      <c r="F29" s="17">
        <v>75.333040376939834</v>
      </c>
      <c r="G29" s="17">
        <v>84.424079607477537</v>
      </c>
      <c r="H29" s="17">
        <v>100</v>
      </c>
      <c r="I29" s="17">
        <v>84.418658545242693</v>
      </c>
      <c r="J29" s="17">
        <v>25.446689074506164</v>
      </c>
      <c r="K29" s="17">
        <v>0</v>
      </c>
      <c r="L29" s="17">
        <v>0</v>
      </c>
      <c r="M29" s="17">
        <v>0</v>
      </c>
    </row>
    <row r="30" spans="3:13" x14ac:dyDescent="0.3">
      <c r="C30" s="27"/>
      <c r="D30" s="28"/>
      <c r="E30" s="11" t="s">
        <v>42</v>
      </c>
      <c r="F30" s="17">
        <v>84.385252129262994</v>
      </c>
      <c r="G30" s="17">
        <v>96.85604204960741</v>
      </c>
      <c r="H30" s="17">
        <v>95.957823666456818</v>
      </c>
      <c r="I30" s="17">
        <v>93.601057928508851</v>
      </c>
      <c r="J30" s="17">
        <v>31.657865263135658</v>
      </c>
      <c r="K30" s="17">
        <v>0</v>
      </c>
      <c r="L30" s="17">
        <v>0</v>
      </c>
      <c r="M30" s="17">
        <v>0</v>
      </c>
    </row>
    <row r="31" spans="3:13" x14ac:dyDescent="0.3">
      <c r="C31" s="27"/>
      <c r="D31" s="28"/>
      <c r="E31" s="11" t="s">
        <v>43</v>
      </c>
      <c r="F31" s="17">
        <v>96.883780991432488</v>
      </c>
      <c r="G31" s="17">
        <v>91.934116492995159</v>
      </c>
      <c r="H31" s="17">
        <v>90.531058755748887</v>
      </c>
      <c r="I31" s="17">
        <v>90.308032500558838</v>
      </c>
      <c r="J31" s="17">
        <v>30.930257799670631</v>
      </c>
      <c r="K31" s="17">
        <v>0</v>
      </c>
      <c r="L31" s="17">
        <v>0</v>
      </c>
      <c r="M31" s="17">
        <v>0</v>
      </c>
    </row>
    <row r="33" spans="3:16" x14ac:dyDescent="0.3">
      <c r="C33" s="25" t="s">
        <v>46</v>
      </c>
      <c r="D33" s="25"/>
      <c r="E33" s="25"/>
      <c r="F33" s="11">
        <v>4</v>
      </c>
      <c r="G33" s="11">
        <v>5</v>
      </c>
      <c r="H33" s="11">
        <v>6</v>
      </c>
      <c r="I33" s="11">
        <v>6</v>
      </c>
      <c r="J33" s="11">
        <v>7</v>
      </c>
      <c r="K33" s="11">
        <v>8</v>
      </c>
      <c r="L33" s="11">
        <v>7.5</v>
      </c>
      <c r="M33" s="11">
        <v>8.5</v>
      </c>
      <c r="N33" s="11">
        <v>8.6</v>
      </c>
      <c r="O33" s="11">
        <v>9.6</v>
      </c>
      <c r="P33" s="11">
        <v>10.6</v>
      </c>
    </row>
    <row r="34" spans="3:16" x14ac:dyDescent="0.3">
      <c r="C34" s="27" t="s">
        <v>45</v>
      </c>
      <c r="D34" s="28" t="s">
        <v>20</v>
      </c>
      <c r="E34" s="11" t="s">
        <v>41</v>
      </c>
      <c r="F34" s="17">
        <v>0</v>
      </c>
      <c r="G34" s="17">
        <v>0.10763391884087933</v>
      </c>
      <c r="H34" s="17">
        <v>0</v>
      </c>
      <c r="I34" s="17">
        <v>1.8376413116507537</v>
      </c>
      <c r="J34" s="17">
        <v>21.529030822848952</v>
      </c>
      <c r="K34" s="17">
        <v>100</v>
      </c>
      <c r="L34" s="17">
        <v>14.943362986964836</v>
      </c>
      <c r="M34" s="17">
        <v>7.0188999768553364</v>
      </c>
      <c r="N34" s="17">
        <v>8.0386133875023322</v>
      </c>
      <c r="O34" s="17">
        <v>33.058443644992323</v>
      </c>
      <c r="P34" s="17">
        <v>13.295148384255336</v>
      </c>
    </row>
    <row r="35" spans="3:16" x14ac:dyDescent="0.3">
      <c r="C35" s="27"/>
      <c r="D35" s="28"/>
      <c r="E35" s="11" t="s">
        <v>42</v>
      </c>
      <c r="F35" s="17">
        <v>0</v>
      </c>
      <c r="G35" s="17">
        <v>0.34739465245928897</v>
      </c>
      <c r="H35" s="17">
        <v>1.2125107015978807</v>
      </c>
      <c r="I35" s="17">
        <v>3.0582414100717483</v>
      </c>
      <c r="J35" s="17">
        <v>16.694942104636347</v>
      </c>
      <c r="K35" s="17">
        <v>87.215831848404704</v>
      </c>
      <c r="L35" s="17">
        <v>10.911472787044382</v>
      </c>
      <c r="M35" s="17">
        <v>5.6875200830511412</v>
      </c>
      <c r="N35" s="17">
        <v>7.2905688868315863</v>
      </c>
      <c r="O35" s="17">
        <v>38.155437759956143</v>
      </c>
      <c r="P35" s="17">
        <v>13.955782458142989</v>
      </c>
    </row>
    <row r="36" spans="3:16" x14ac:dyDescent="0.3">
      <c r="C36" s="27"/>
      <c r="D36" s="28"/>
      <c r="E36" s="11" t="s">
        <v>43</v>
      </c>
      <c r="F36" s="17">
        <v>0</v>
      </c>
      <c r="G36" s="17">
        <v>5.8198716032959799E-2</v>
      </c>
      <c r="H36" s="17">
        <v>1.3817139184813505</v>
      </c>
      <c r="I36" s="17">
        <v>2.0917831951769217</v>
      </c>
      <c r="J36" s="17">
        <v>13.094711107415954</v>
      </c>
      <c r="K36" s="17">
        <v>85.236850797816771</v>
      </c>
      <c r="L36" s="17">
        <v>14.576418958849688</v>
      </c>
      <c r="M36" s="17">
        <v>4.0894147995514878</v>
      </c>
      <c r="N36" s="17">
        <v>6.6097113208861487</v>
      </c>
      <c r="O36" s="17">
        <v>35.591997788898198</v>
      </c>
      <c r="P36" s="17">
        <v>12.833603354403216</v>
      </c>
    </row>
    <row r="38" spans="3:16" x14ac:dyDescent="0.3">
      <c r="C38" s="25" t="s">
        <v>53</v>
      </c>
      <c r="D38" s="25"/>
      <c r="E38" s="25"/>
      <c r="F38" s="11">
        <v>4</v>
      </c>
      <c r="G38" s="11">
        <v>5</v>
      </c>
      <c r="H38" s="11">
        <v>6</v>
      </c>
      <c r="I38" s="11">
        <v>6</v>
      </c>
      <c r="J38" s="11">
        <v>7</v>
      </c>
      <c r="K38" s="11">
        <v>8</v>
      </c>
      <c r="L38" s="11">
        <v>7.5</v>
      </c>
      <c r="M38" s="11">
        <v>8.5</v>
      </c>
      <c r="N38" s="11">
        <v>8.6</v>
      </c>
      <c r="O38" s="11">
        <v>9.6</v>
      </c>
      <c r="P38" s="11">
        <v>10.6</v>
      </c>
    </row>
    <row r="39" spans="3:16" x14ac:dyDescent="0.3">
      <c r="C39" s="27" t="s">
        <v>45</v>
      </c>
      <c r="D39" s="28" t="s">
        <v>20</v>
      </c>
      <c r="E39" s="11" t="s">
        <v>41</v>
      </c>
      <c r="F39" s="17">
        <v>0.29582626356921637</v>
      </c>
      <c r="G39" s="17">
        <v>1.7581915836726039</v>
      </c>
      <c r="H39" s="17">
        <v>11.304575713434915</v>
      </c>
      <c r="I39" s="17">
        <v>37.009719191919608</v>
      </c>
      <c r="J39" s="17">
        <v>62.508543232162886</v>
      </c>
      <c r="K39" s="17">
        <v>81.537482687174361</v>
      </c>
      <c r="L39" s="17">
        <v>32.71054298433539</v>
      </c>
      <c r="M39" s="17">
        <v>32.415632339574934</v>
      </c>
      <c r="N39" s="17">
        <v>64.751565148618155</v>
      </c>
      <c r="O39" s="17">
        <v>83.422599384826242</v>
      </c>
      <c r="P39" s="17">
        <v>69.660156888230816</v>
      </c>
    </row>
    <row r="40" spans="3:16" x14ac:dyDescent="0.3">
      <c r="C40" s="27"/>
      <c r="D40" s="28"/>
      <c r="E40" s="11" t="s">
        <v>42</v>
      </c>
      <c r="F40" s="17">
        <v>8.1408685641408268E-2</v>
      </c>
      <c r="G40" s="17">
        <v>1.7008331520747211</v>
      </c>
      <c r="H40" s="17">
        <v>14.252095088437585</v>
      </c>
      <c r="I40" s="17">
        <v>24.402075484021534</v>
      </c>
      <c r="J40" s="17">
        <v>66.183959213048013</v>
      </c>
      <c r="K40" s="17">
        <v>93.664080620032635</v>
      </c>
      <c r="L40" s="17">
        <v>36.084923847983674</v>
      </c>
      <c r="M40" s="17">
        <v>35.071476256274785</v>
      </c>
      <c r="N40" s="17">
        <v>62.424387690095188</v>
      </c>
      <c r="O40" s="17">
        <v>85.936847939521954</v>
      </c>
      <c r="P40" s="17">
        <v>77.862900936759431</v>
      </c>
    </row>
    <row r="41" spans="3:16" x14ac:dyDescent="0.3">
      <c r="C41" s="27"/>
      <c r="D41" s="28"/>
      <c r="E41" s="11" t="s">
        <v>43</v>
      </c>
      <c r="F41" s="17">
        <v>0.35011228538658135</v>
      </c>
      <c r="G41" s="17">
        <v>0.66184996914364613</v>
      </c>
      <c r="H41" s="17">
        <v>11.519807174748291</v>
      </c>
      <c r="I41" s="17">
        <v>20.982951381251667</v>
      </c>
      <c r="J41" s="17">
        <v>67.355442611149513</v>
      </c>
      <c r="K41" s="17">
        <v>100</v>
      </c>
      <c r="L41" s="17">
        <v>40.77822308502904</v>
      </c>
      <c r="M41" s="17">
        <v>13.080062319050834</v>
      </c>
      <c r="N41" s="17">
        <v>24.585402716620656</v>
      </c>
      <c r="O41" s="17">
        <v>99.691782361885515</v>
      </c>
      <c r="P41" s="17">
        <v>82.466856125154109</v>
      </c>
    </row>
    <row r="43" spans="3:16" x14ac:dyDescent="0.3">
      <c r="C43" s="25" t="s">
        <v>54</v>
      </c>
      <c r="D43" s="25"/>
      <c r="E43" s="25"/>
      <c r="F43" s="11">
        <v>4</v>
      </c>
      <c r="G43" s="11">
        <v>5</v>
      </c>
      <c r="H43" s="11">
        <v>6</v>
      </c>
      <c r="I43" s="11">
        <v>6</v>
      </c>
      <c r="J43" s="11">
        <v>7</v>
      </c>
      <c r="K43" s="11">
        <v>8</v>
      </c>
      <c r="L43" s="11">
        <v>7.5</v>
      </c>
      <c r="M43" s="11">
        <v>8.5</v>
      </c>
      <c r="N43" s="11">
        <v>8.6</v>
      </c>
      <c r="O43" s="11">
        <v>9.6</v>
      </c>
      <c r="P43" s="11">
        <v>10.6</v>
      </c>
    </row>
    <row r="44" spans="3:16" x14ac:dyDescent="0.3">
      <c r="C44" s="27" t="s">
        <v>45</v>
      </c>
      <c r="D44" s="28" t="s">
        <v>21</v>
      </c>
      <c r="E44" s="11" t="s">
        <v>41</v>
      </c>
      <c r="F44" s="17">
        <v>6.8485088686760703E-2</v>
      </c>
      <c r="G44" s="17">
        <v>6.5704468320472937</v>
      </c>
      <c r="H44" s="17">
        <v>49.569941654477404</v>
      </c>
      <c r="I44" s="17">
        <v>49.103191193617924</v>
      </c>
      <c r="J44" s="17">
        <v>85.223524639397141</v>
      </c>
      <c r="K44" s="17">
        <v>100</v>
      </c>
      <c r="L44" s="17">
        <v>75.684777999982728</v>
      </c>
      <c r="M44" s="17">
        <v>45.188628113906368</v>
      </c>
      <c r="N44" s="17">
        <v>48.92102543100588</v>
      </c>
      <c r="O44" s="17">
        <v>55.92379153116137</v>
      </c>
      <c r="P44" s="17">
        <v>1.4200480321712992</v>
      </c>
    </row>
    <row r="45" spans="3:16" x14ac:dyDescent="0.3">
      <c r="C45" s="27"/>
      <c r="D45" s="28"/>
      <c r="E45" s="11" t="s">
        <v>42</v>
      </c>
      <c r="F45" s="17">
        <v>4.2640256804219366E-2</v>
      </c>
      <c r="G45" s="17">
        <v>0.21236665773159211</v>
      </c>
      <c r="H45" s="17">
        <v>51.280871240087166</v>
      </c>
      <c r="I45" s="17">
        <v>49.908405481345277</v>
      </c>
      <c r="J45" s="17">
        <v>79.376058539087296</v>
      </c>
      <c r="K45" s="17">
        <v>81.691266133226137</v>
      </c>
      <c r="L45" s="17">
        <v>83.911703627177232</v>
      </c>
      <c r="M45" s="17">
        <v>58.549903134759163</v>
      </c>
      <c r="N45" s="17">
        <v>53.906968552138899</v>
      </c>
      <c r="O45" s="17">
        <v>42.074231547856186</v>
      </c>
      <c r="P45" s="17">
        <v>2.1476306417378654</v>
      </c>
    </row>
    <row r="46" spans="3:16" x14ac:dyDescent="0.3">
      <c r="C46" s="27"/>
      <c r="D46" s="28"/>
      <c r="E46" s="11" t="s">
        <v>43</v>
      </c>
      <c r="F46" s="17">
        <v>0.26986440581268045</v>
      </c>
      <c r="G46" s="17">
        <v>11.359703979778264</v>
      </c>
      <c r="H46" s="17">
        <v>52.991800825696934</v>
      </c>
      <c r="I46" s="17">
        <v>48.297976905890572</v>
      </c>
      <c r="J46" s="17">
        <v>65.663417283589837</v>
      </c>
      <c r="K46" s="17">
        <v>90.845633066613061</v>
      </c>
      <c r="L46" s="17">
        <v>67.457852372788224</v>
      </c>
      <c r="M46" s="17">
        <v>55.255375922254899</v>
      </c>
      <c r="N46" s="17">
        <v>52.864788997613253</v>
      </c>
      <c r="O46" s="17">
        <v>43.146103218461889</v>
      </c>
      <c r="P46" s="17">
        <v>5.7954620225315949</v>
      </c>
    </row>
    <row r="48" spans="3:16" x14ac:dyDescent="0.3">
      <c r="C48" s="25" t="s">
        <v>55</v>
      </c>
      <c r="D48" s="25"/>
      <c r="E48" s="25"/>
      <c r="F48" s="11">
        <v>2</v>
      </c>
      <c r="G48" s="11">
        <v>4</v>
      </c>
      <c r="H48" s="11">
        <v>6</v>
      </c>
      <c r="I48" s="11">
        <v>8</v>
      </c>
      <c r="J48" s="11">
        <v>10</v>
      </c>
    </row>
    <row r="49" spans="3:10" x14ac:dyDescent="0.3">
      <c r="C49" s="27" t="s">
        <v>45</v>
      </c>
      <c r="D49" s="28" t="s">
        <v>21</v>
      </c>
      <c r="E49" s="11" t="s">
        <v>41</v>
      </c>
      <c r="F49" s="17">
        <v>38.604313190756422</v>
      </c>
      <c r="G49" s="17">
        <v>64.730156451844408</v>
      </c>
      <c r="H49" s="17">
        <v>64.575409071336296</v>
      </c>
      <c r="I49" s="17">
        <v>74.164364145256215</v>
      </c>
      <c r="J49" s="17">
        <v>97.326682933830924</v>
      </c>
    </row>
    <row r="50" spans="3:10" x14ac:dyDescent="0.3">
      <c r="C50" s="27"/>
      <c r="D50" s="28"/>
      <c r="E50" s="11" t="s">
        <v>42</v>
      </c>
      <c r="F50" s="17">
        <v>42.960115544710781</v>
      </c>
      <c r="G50" s="17">
        <v>59.496106645615043</v>
      </c>
      <c r="H50" s="17">
        <v>60.917539830630119</v>
      </c>
      <c r="I50" s="17">
        <v>71.033533084541418</v>
      </c>
      <c r="J50" s="17">
        <v>78.005238983780671</v>
      </c>
    </row>
    <row r="51" spans="3:10" x14ac:dyDescent="0.3">
      <c r="C51" s="27"/>
      <c r="D51" s="28"/>
      <c r="E51" s="11" t="s">
        <v>43</v>
      </c>
      <c r="F51" s="17">
        <v>47.014496914023255</v>
      </c>
      <c r="G51" s="17">
        <v>55.468637864217015</v>
      </c>
      <c r="H51" s="17">
        <v>65.940325821731022</v>
      </c>
      <c r="I51" s="17">
        <v>76.108350078943587</v>
      </c>
      <c r="J51" s="17">
        <v>100</v>
      </c>
    </row>
    <row r="53" spans="3:10" x14ac:dyDescent="0.3">
      <c r="C53" s="25" t="s">
        <v>56</v>
      </c>
      <c r="D53" s="25"/>
      <c r="E53" s="25"/>
      <c r="F53" s="11">
        <v>2</v>
      </c>
      <c r="G53" s="11">
        <v>4</v>
      </c>
      <c r="H53" s="11">
        <v>6</v>
      </c>
      <c r="I53" s="11">
        <v>8</v>
      </c>
      <c r="J53" s="11">
        <v>10</v>
      </c>
    </row>
    <row r="54" spans="3:10" x14ac:dyDescent="0.3">
      <c r="C54" s="27" t="s">
        <v>45</v>
      </c>
      <c r="D54" s="28" t="s">
        <v>21</v>
      </c>
      <c r="E54" s="11" t="s">
        <v>41</v>
      </c>
      <c r="F54" s="17">
        <v>88.962933258713647</v>
      </c>
      <c r="G54" s="17">
        <v>94.572813316382337</v>
      </c>
      <c r="H54" s="17">
        <v>99.234119998149197</v>
      </c>
      <c r="I54" s="17">
        <v>91.255505588764734</v>
      </c>
      <c r="J54" s="17">
        <v>95.864152512061438</v>
      </c>
    </row>
    <row r="55" spans="3:10" x14ac:dyDescent="0.3">
      <c r="C55" s="27"/>
      <c r="D55" s="28"/>
      <c r="E55" s="11" t="s">
        <v>42</v>
      </c>
      <c r="F55" s="17">
        <v>82.817458656214043</v>
      </c>
      <c r="G55" s="17">
        <v>90.630418832363503</v>
      </c>
      <c r="H55" s="17">
        <v>85.248143504819069</v>
      </c>
      <c r="I55" s="17">
        <v>85.000561850979494</v>
      </c>
      <c r="J55" s="17">
        <v>89.385019216772392</v>
      </c>
    </row>
    <row r="56" spans="3:10" x14ac:dyDescent="0.3">
      <c r="C56" s="27"/>
      <c r="D56" s="28"/>
      <c r="E56" s="11" t="s">
        <v>43</v>
      </c>
      <c r="F56" s="17">
        <v>95.294810186174644</v>
      </c>
      <c r="G56" s="17">
        <v>100</v>
      </c>
      <c r="H56" s="17">
        <v>85.64132902360582</v>
      </c>
      <c r="I56" s="17">
        <v>77.939417041050376</v>
      </c>
      <c r="J56" s="17">
        <v>81.824928703681266</v>
      </c>
    </row>
    <row r="58" spans="3:10" x14ac:dyDescent="0.3">
      <c r="C58" s="25" t="s">
        <v>57</v>
      </c>
      <c r="D58" s="25"/>
      <c r="E58" s="25"/>
      <c r="F58" s="11">
        <v>2</v>
      </c>
      <c r="G58" s="11">
        <v>4</v>
      </c>
      <c r="H58" s="11">
        <v>6</v>
      </c>
      <c r="I58" s="11">
        <v>8</v>
      </c>
      <c r="J58" s="11">
        <v>10</v>
      </c>
    </row>
    <row r="59" spans="3:10" x14ac:dyDescent="0.3">
      <c r="C59" s="27" t="s">
        <v>45</v>
      </c>
      <c r="D59" s="28" t="s">
        <v>21</v>
      </c>
      <c r="E59" s="11" t="s">
        <v>41</v>
      </c>
      <c r="F59" s="17">
        <v>91.682730272197063</v>
      </c>
      <c r="G59" s="17">
        <v>89.508201779293898</v>
      </c>
      <c r="H59" s="17">
        <v>90.779560730191207</v>
      </c>
      <c r="I59" s="17">
        <v>94.221772245753527</v>
      </c>
      <c r="J59" s="17">
        <v>73.312550076989595</v>
      </c>
    </row>
    <row r="60" spans="3:10" x14ac:dyDescent="0.3">
      <c r="C60" s="27"/>
      <c r="D60" s="28"/>
      <c r="E60" s="11" t="s">
        <v>42</v>
      </c>
      <c r="F60" s="17">
        <v>93.191180568344294</v>
      </c>
      <c r="G60" s="17">
        <v>87.527852689043954</v>
      </c>
      <c r="H60" s="17">
        <v>100</v>
      </c>
      <c r="I60" s="17">
        <v>92.615246978989603</v>
      </c>
      <c r="J60" s="17">
        <v>78.801524461675371</v>
      </c>
    </row>
    <row r="61" spans="3:10" x14ac:dyDescent="0.3">
      <c r="C61" s="27"/>
      <c r="D61" s="28"/>
      <c r="E61" s="11" t="s">
        <v>43</v>
      </c>
      <c r="F61" s="17">
        <v>93.361478489673175</v>
      </c>
      <c r="G61" s="17">
        <v>96.451542106130915</v>
      </c>
      <c r="H61" s="17">
        <v>96.305969321787614</v>
      </c>
      <c r="I61" s="17">
        <v>92.615246978989603</v>
      </c>
      <c r="J61" s="17">
        <v>68.629507893242376</v>
      </c>
    </row>
  </sheetData>
  <mergeCells count="36">
    <mergeCell ref="C53:E53"/>
    <mergeCell ref="C54:C56"/>
    <mergeCell ref="D54:D56"/>
    <mergeCell ref="C58:E58"/>
    <mergeCell ref="C59:C61"/>
    <mergeCell ref="D59:D61"/>
    <mergeCell ref="C13:E13"/>
    <mergeCell ref="C14:C16"/>
    <mergeCell ref="D14:D16"/>
    <mergeCell ref="C48:E48"/>
    <mergeCell ref="C49:C51"/>
    <mergeCell ref="D49:D51"/>
    <mergeCell ref="C18:E18"/>
    <mergeCell ref="C19:C21"/>
    <mergeCell ref="D19:D21"/>
    <mergeCell ref="C23:E23"/>
    <mergeCell ref="C24:C26"/>
    <mergeCell ref="D24:D26"/>
    <mergeCell ref="C28:E28"/>
    <mergeCell ref="C29:C31"/>
    <mergeCell ref="D29:D31"/>
    <mergeCell ref="C33:E33"/>
    <mergeCell ref="C3:E3"/>
    <mergeCell ref="C4:C6"/>
    <mergeCell ref="D4:D6"/>
    <mergeCell ref="C8:E8"/>
    <mergeCell ref="C9:C11"/>
    <mergeCell ref="D9:D11"/>
    <mergeCell ref="C43:E43"/>
    <mergeCell ref="C44:C46"/>
    <mergeCell ref="D44:D46"/>
    <mergeCell ref="C34:C36"/>
    <mergeCell ref="D34:D36"/>
    <mergeCell ref="C38:E38"/>
    <mergeCell ref="C39:C41"/>
    <mergeCell ref="D39:D41"/>
  </mergeCells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9CAEF-A180-45DD-BF22-35F4AE7B618D}">
  <dimension ref="B3:N26"/>
  <sheetViews>
    <sheetView zoomScale="85" zoomScaleNormal="85" workbookViewId="0">
      <selection activeCell="F7" sqref="F7"/>
    </sheetView>
  </sheetViews>
  <sheetFormatPr defaultRowHeight="14.15" x14ac:dyDescent="0.3"/>
  <cols>
    <col min="1" max="1" width="9.23046875" style="1"/>
    <col min="2" max="2" width="19.23046875" style="1" bestFit="1" customWidth="1"/>
    <col min="3" max="3" width="3.3828125" style="1" bestFit="1" customWidth="1"/>
    <col min="4" max="4" width="9.84375" style="1" bestFit="1" customWidth="1"/>
    <col min="5" max="5" width="8.765625" style="1" bestFit="1" customWidth="1"/>
    <col min="6" max="6" width="20.921875" style="1" bestFit="1" customWidth="1"/>
    <col min="7" max="7" width="13.921875" style="1" bestFit="1" customWidth="1"/>
    <col min="8" max="8" width="14.23046875" style="1" bestFit="1" customWidth="1"/>
    <col min="9" max="9" width="13.765625" style="1" bestFit="1" customWidth="1"/>
    <col min="10" max="10" width="8.765625" style="1" bestFit="1" customWidth="1"/>
    <col min="11" max="11" width="13.3046875" style="1" bestFit="1" customWidth="1"/>
    <col min="12" max="12" width="8.765625" style="1" bestFit="1" customWidth="1"/>
    <col min="13" max="16384" width="9.23046875" style="1"/>
  </cols>
  <sheetData>
    <row r="3" spans="2:14" x14ac:dyDescent="0.35">
      <c r="B3" s="27"/>
      <c r="C3" s="27"/>
      <c r="D3" s="11"/>
      <c r="E3" s="18" t="s">
        <v>0</v>
      </c>
      <c r="F3" s="18" t="s">
        <v>34</v>
      </c>
      <c r="G3" s="18" t="s">
        <v>35</v>
      </c>
      <c r="H3" s="18" t="s">
        <v>36</v>
      </c>
      <c r="I3" s="18" t="s">
        <v>37</v>
      </c>
      <c r="J3" s="18" t="s">
        <v>38</v>
      </c>
      <c r="K3" s="18" t="s">
        <v>39</v>
      </c>
      <c r="L3" s="18" t="s">
        <v>40</v>
      </c>
    </row>
    <row r="4" spans="2:14" x14ac:dyDescent="0.35">
      <c r="B4" s="27" t="s">
        <v>33</v>
      </c>
      <c r="C4" s="28" t="s">
        <v>20</v>
      </c>
      <c r="D4" s="11" t="s">
        <v>25</v>
      </c>
      <c r="E4" s="19">
        <v>1.0403800000000001</v>
      </c>
      <c r="F4" s="19">
        <v>100</v>
      </c>
      <c r="G4" s="19">
        <v>45.807299999999998</v>
      </c>
      <c r="H4" s="19">
        <v>28.8566</v>
      </c>
      <c r="I4" s="19">
        <v>23.4803</v>
      </c>
      <c r="J4" s="19">
        <v>18.018899999999999</v>
      </c>
      <c r="K4" s="19">
        <v>7.3386415520000003</v>
      </c>
      <c r="L4" s="19">
        <v>3.9283899999999998</v>
      </c>
    </row>
    <row r="5" spans="2:14" x14ac:dyDescent="0.35">
      <c r="B5" s="27"/>
      <c r="C5" s="28"/>
      <c r="D5" s="11" t="s">
        <v>26</v>
      </c>
      <c r="E5" s="19">
        <v>1.0658300000000001</v>
      </c>
      <c r="F5" s="19">
        <v>98.925200000000004</v>
      </c>
      <c r="G5" s="19">
        <v>45.902999999999999</v>
      </c>
      <c r="H5" s="19">
        <v>29.395399999999999</v>
      </c>
      <c r="I5" s="19">
        <v>22.235199999999999</v>
      </c>
      <c r="J5" s="19">
        <v>17.985299999999999</v>
      </c>
      <c r="K5" s="19">
        <v>7.0426007620000002</v>
      </c>
      <c r="L5" s="19">
        <v>3.9137</v>
      </c>
    </row>
    <row r="6" spans="2:14" x14ac:dyDescent="0.35">
      <c r="B6" s="27"/>
      <c r="C6" s="28"/>
      <c r="D6" s="11" t="s">
        <v>44</v>
      </c>
      <c r="E6" s="19">
        <v>1.0625500000000001</v>
      </c>
      <c r="F6" s="19">
        <v>96.841399999999993</v>
      </c>
      <c r="G6" s="19">
        <v>43.4833</v>
      </c>
      <c r="H6" s="19">
        <v>27.9116</v>
      </c>
      <c r="I6" s="19">
        <v>25.104099999999999</v>
      </c>
      <c r="J6" s="19">
        <v>18.638100000000001</v>
      </c>
      <c r="K6" s="19">
        <v>7.6135034739999998</v>
      </c>
      <c r="L6" s="19">
        <v>3.92239</v>
      </c>
    </row>
    <row r="7" spans="2:14" x14ac:dyDescent="0.3">
      <c r="B7" s="11"/>
    </row>
    <row r="10" spans="2:14" x14ac:dyDescent="0.35">
      <c r="B10" s="27"/>
      <c r="C10" s="27"/>
      <c r="D10" s="27"/>
      <c r="E10" s="16" t="s">
        <v>0</v>
      </c>
      <c r="F10" s="16" t="s">
        <v>27</v>
      </c>
      <c r="G10" s="16" t="s">
        <v>28</v>
      </c>
      <c r="H10" s="16" t="s">
        <v>29</v>
      </c>
      <c r="I10" s="16" t="s">
        <v>30</v>
      </c>
      <c r="J10" s="16" t="s">
        <v>9</v>
      </c>
      <c r="K10" s="16" t="s">
        <v>31</v>
      </c>
      <c r="L10" s="16" t="s">
        <v>32</v>
      </c>
    </row>
    <row r="11" spans="2:14" x14ac:dyDescent="0.35">
      <c r="B11" s="27" t="s">
        <v>33</v>
      </c>
      <c r="C11" s="28" t="s">
        <v>21</v>
      </c>
      <c r="D11" s="11" t="s">
        <v>25</v>
      </c>
      <c r="E11" s="14">
        <v>0.27005297299999997</v>
      </c>
      <c r="F11" s="14">
        <v>100</v>
      </c>
      <c r="G11" s="14">
        <v>65.586820000000003</v>
      </c>
      <c r="H11" s="14">
        <v>25.294409999999999</v>
      </c>
      <c r="I11" s="14">
        <v>6.6629440000000004</v>
      </c>
      <c r="J11" s="14">
        <v>23.637609999999999</v>
      </c>
      <c r="K11" s="14">
        <v>0.47596962300000001</v>
      </c>
      <c r="L11" s="14">
        <v>6.9708759999999996</v>
      </c>
      <c r="N11" s="14"/>
    </row>
    <row r="12" spans="2:14" x14ac:dyDescent="0.35">
      <c r="B12" s="27"/>
      <c r="C12" s="28"/>
      <c r="D12" s="11" t="s">
        <v>26</v>
      </c>
      <c r="E12" s="14">
        <v>0.109884431</v>
      </c>
      <c r="F12" s="14">
        <v>92.101860000000002</v>
      </c>
      <c r="G12" s="14">
        <v>63.287489999999998</v>
      </c>
      <c r="H12" s="14">
        <v>27.464700000000001</v>
      </c>
      <c r="I12" s="14">
        <v>7.220313</v>
      </c>
      <c r="J12" s="14">
        <v>26.452220000000001</v>
      </c>
      <c r="K12" s="14">
        <v>0.527270605</v>
      </c>
      <c r="L12" s="14">
        <v>6.7570899999999998</v>
      </c>
    </row>
    <row r="13" spans="2:14" x14ac:dyDescent="0.35">
      <c r="B13" s="27"/>
      <c r="C13" s="28"/>
      <c r="D13" s="11" t="s">
        <v>44</v>
      </c>
      <c r="E13" s="14">
        <v>0.13138698800000001</v>
      </c>
      <c r="F13" s="14">
        <v>91.138499999999993</v>
      </c>
      <c r="G13" s="14">
        <v>64.626620000000003</v>
      </c>
      <c r="H13" s="14">
        <v>23.51314</v>
      </c>
      <c r="I13" s="14">
        <v>6.7152539999999998</v>
      </c>
      <c r="J13" s="14">
        <v>24.69417</v>
      </c>
      <c r="K13" s="14">
        <v>0.56904336</v>
      </c>
      <c r="L13" s="14">
        <v>7.1837150000000003</v>
      </c>
      <c r="N13" s="14"/>
    </row>
    <row r="14" spans="2:14" x14ac:dyDescent="0.3">
      <c r="E14" s="20"/>
      <c r="F14" s="20"/>
      <c r="G14" s="20"/>
      <c r="H14" s="20"/>
      <c r="I14" s="20"/>
      <c r="J14" s="20"/>
      <c r="K14" s="20"/>
      <c r="L14" s="20"/>
    </row>
    <row r="17" spans="5:14" x14ac:dyDescent="0.3">
      <c r="E17" s="11"/>
      <c r="F17" s="4"/>
      <c r="G17" s="4"/>
      <c r="H17" s="4"/>
      <c r="I17" s="4"/>
      <c r="J17" s="4"/>
      <c r="K17" s="4"/>
      <c r="L17" s="4"/>
      <c r="M17" s="4"/>
    </row>
    <row r="18" spans="5:14" x14ac:dyDescent="0.3">
      <c r="E18" s="13"/>
      <c r="I18" s="21"/>
      <c r="J18" s="21"/>
      <c r="K18" s="22"/>
      <c r="L18" s="22"/>
      <c r="M18" s="22"/>
      <c r="N18" s="21"/>
    </row>
    <row r="19" spans="5:14" x14ac:dyDescent="0.3">
      <c r="E19" s="13"/>
      <c r="I19" s="21"/>
      <c r="J19" s="21"/>
      <c r="K19" s="22"/>
      <c r="L19" s="22"/>
      <c r="M19" s="22"/>
      <c r="N19" s="21"/>
    </row>
    <row r="20" spans="5:14" x14ac:dyDescent="0.3">
      <c r="E20" s="13"/>
      <c r="I20" s="21"/>
      <c r="J20" s="21"/>
      <c r="N20" s="21"/>
    </row>
    <row r="21" spans="5:14" x14ac:dyDescent="0.3">
      <c r="E21" s="13"/>
      <c r="I21" s="21"/>
      <c r="J21" s="21"/>
      <c r="N21" s="21"/>
    </row>
    <row r="22" spans="5:14" x14ac:dyDescent="0.3">
      <c r="E22" s="13"/>
      <c r="I22" s="21"/>
      <c r="J22" s="21"/>
      <c r="N22" s="21"/>
    </row>
    <row r="23" spans="5:14" x14ac:dyDescent="0.3">
      <c r="E23" s="13"/>
      <c r="I23" s="21"/>
      <c r="J23" s="21"/>
      <c r="N23" s="21"/>
    </row>
    <row r="24" spans="5:14" x14ac:dyDescent="0.3">
      <c r="E24" s="13"/>
      <c r="I24" s="21"/>
      <c r="J24" s="21"/>
      <c r="N24" s="21"/>
    </row>
    <row r="25" spans="5:14" x14ac:dyDescent="0.3">
      <c r="E25" s="13"/>
      <c r="I25" s="21"/>
      <c r="J25" s="21"/>
      <c r="N25" s="21"/>
    </row>
    <row r="26" spans="5:14" x14ac:dyDescent="0.3">
      <c r="E26" s="13"/>
      <c r="I26" s="21"/>
      <c r="J26" s="21"/>
      <c r="N26" s="21"/>
    </row>
  </sheetData>
  <mergeCells count="6">
    <mergeCell ref="C4:C6"/>
    <mergeCell ref="B4:B6"/>
    <mergeCell ref="B3:C3"/>
    <mergeCell ref="B11:B13"/>
    <mergeCell ref="C11:C13"/>
    <mergeCell ref="B10:D10"/>
  </mergeCells>
  <phoneticPr fontId="4" type="noConversion"/>
  <pageMargins left="0.7" right="0.7" top="0.75" bottom="0.75" header="0.3" footer="0.3"/>
  <pageSetup paperSize="9"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58102-8F49-458A-9078-F0D12DE74202}">
  <dimension ref="B3:O13"/>
  <sheetViews>
    <sheetView workbookViewId="0">
      <selection activeCell="E13" sqref="E13"/>
    </sheetView>
  </sheetViews>
  <sheetFormatPr defaultRowHeight="14.15" x14ac:dyDescent="0.3"/>
  <cols>
    <col min="1" max="1" width="9.23046875" style="1"/>
    <col min="2" max="2" width="10.4609375" style="1" bestFit="1" customWidth="1"/>
    <col min="3" max="7" width="7.69140625" style="1" bestFit="1" customWidth="1"/>
    <col min="8" max="13" width="8.765625" style="1" bestFit="1" customWidth="1"/>
    <col min="14" max="15" width="9.84375" style="1" bestFit="1" customWidth="1"/>
    <col min="16" max="16384" width="9.23046875" style="1"/>
  </cols>
  <sheetData>
    <row r="3" spans="2:15" x14ac:dyDescent="0.3">
      <c r="C3" s="25" t="s">
        <v>62</v>
      </c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</row>
    <row r="4" spans="2:15" x14ac:dyDescent="0.3">
      <c r="B4" s="1" t="s">
        <v>58</v>
      </c>
      <c r="C4" s="1">
        <v>0.04</v>
      </c>
      <c r="D4" s="1">
        <v>0.08</v>
      </c>
      <c r="E4" s="1">
        <v>0.12</v>
      </c>
      <c r="F4" s="1">
        <v>0.16</v>
      </c>
      <c r="G4" s="1">
        <v>0.2</v>
      </c>
      <c r="H4" s="1">
        <v>0.4</v>
      </c>
      <c r="I4" s="1">
        <v>0.8</v>
      </c>
      <c r="J4" s="1">
        <v>1.2</v>
      </c>
      <c r="K4" s="1">
        <v>1.6</v>
      </c>
      <c r="L4" s="1">
        <v>2</v>
      </c>
      <c r="M4" s="1">
        <v>3</v>
      </c>
      <c r="N4" s="1">
        <v>4</v>
      </c>
      <c r="O4" s="1">
        <v>5</v>
      </c>
    </row>
    <row r="5" spans="2:15" x14ac:dyDescent="0.3">
      <c r="B5" s="1" t="s">
        <v>59</v>
      </c>
      <c r="C5" s="1">
        <v>100636</v>
      </c>
      <c r="D5" s="1">
        <v>291207</v>
      </c>
      <c r="E5" s="1">
        <v>435497</v>
      </c>
      <c r="F5" s="1">
        <v>582148</v>
      </c>
      <c r="G5" s="1">
        <v>734443</v>
      </c>
      <c r="H5" s="1">
        <v>1288565</v>
      </c>
      <c r="I5" s="1">
        <v>2544422</v>
      </c>
      <c r="J5" s="1">
        <v>3895829</v>
      </c>
      <c r="K5" s="1">
        <v>5171050</v>
      </c>
      <c r="L5" s="1">
        <v>6217182</v>
      </c>
      <c r="M5" s="1">
        <v>9443510</v>
      </c>
      <c r="N5" s="1">
        <v>12692667</v>
      </c>
      <c r="O5" s="1">
        <v>16141436</v>
      </c>
    </row>
    <row r="6" spans="2:15" x14ac:dyDescent="0.3">
      <c r="B6" s="1" t="s">
        <v>60</v>
      </c>
      <c r="C6" s="1">
        <v>83498</v>
      </c>
      <c r="D6" s="1">
        <v>243735</v>
      </c>
      <c r="E6" s="1">
        <v>376370</v>
      </c>
      <c r="F6" s="1">
        <v>539118</v>
      </c>
      <c r="G6" s="1">
        <v>612221</v>
      </c>
      <c r="H6" s="1">
        <v>1113221</v>
      </c>
      <c r="I6" s="1">
        <v>2516095</v>
      </c>
      <c r="J6" s="1">
        <v>4082289</v>
      </c>
      <c r="K6" s="1">
        <v>4971460</v>
      </c>
      <c r="L6" s="1">
        <v>6375334</v>
      </c>
      <c r="M6" s="1">
        <v>9511325</v>
      </c>
      <c r="N6" s="1">
        <v>12498843</v>
      </c>
      <c r="O6" s="1">
        <v>15681026</v>
      </c>
    </row>
    <row r="7" spans="2:15" x14ac:dyDescent="0.3">
      <c r="B7" s="1" t="s">
        <v>61</v>
      </c>
      <c r="C7" s="1">
        <v>108774</v>
      </c>
      <c r="D7" s="1">
        <v>315669</v>
      </c>
      <c r="E7" s="1">
        <v>392132</v>
      </c>
      <c r="F7" s="1">
        <v>570784</v>
      </c>
      <c r="G7" s="1">
        <v>687720</v>
      </c>
      <c r="H7" s="1">
        <v>1206499</v>
      </c>
      <c r="I7" s="1">
        <v>2421974</v>
      </c>
      <c r="J7" s="1">
        <v>3755325</v>
      </c>
      <c r="K7" s="1">
        <v>5220611</v>
      </c>
      <c r="L7" s="1">
        <v>6347440</v>
      </c>
      <c r="M7" s="1">
        <v>9600348</v>
      </c>
      <c r="N7" s="1">
        <v>12843509</v>
      </c>
      <c r="O7" s="1">
        <v>16041331</v>
      </c>
    </row>
    <row r="9" spans="2:15" x14ac:dyDescent="0.3">
      <c r="C9" s="25" t="s">
        <v>63</v>
      </c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</row>
    <row r="10" spans="2:15" x14ac:dyDescent="0.3">
      <c r="B10" s="1" t="s">
        <v>58</v>
      </c>
      <c r="C10" s="1">
        <v>0.04</v>
      </c>
      <c r="D10" s="1">
        <v>0.08</v>
      </c>
      <c r="E10" s="1">
        <v>0.12</v>
      </c>
      <c r="F10" s="1">
        <v>0.16</v>
      </c>
      <c r="G10" s="1">
        <v>0.2</v>
      </c>
      <c r="H10" s="1">
        <v>0.4</v>
      </c>
      <c r="I10" s="1">
        <v>0.8</v>
      </c>
      <c r="J10" s="1">
        <v>1.2</v>
      </c>
      <c r="K10" s="1">
        <v>1.6</v>
      </c>
      <c r="L10" s="1">
        <v>2</v>
      </c>
      <c r="M10" s="1">
        <v>3</v>
      </c>
      <c r="N10" s="1">
        <v>4</v>
      </c>
      <c r="O10" s="1">
        <v>5</v>
      </c>
    </row>
    <row r="11" spans="2:15" x14ac:dyDescent="0.3">
      <c r="B11" s="1" t="s">
        <v>59</v>
      </c>
      <c r="C11" s="1">
        <v>118489</v>
      </c>
      <c r="D11" s="1">
        <v>211068</v>
      </c>
      <c r="E11" s="1">
        <v>388463</v>
      </c>
      <c r="F11" s="1">
        <v>534469</v>
      </c>
      <c r="G11" s="1">
        <v>542861</v>
      </c>
      <c r="H11" s="1">
        <v>1066365</v>
      </c>
      <c r="I11" s="1">
        <v>2144251</v>
      </c>
      <c r="J11" s="1">
        <v>3267441</v>
      </c>
      <c r="K11" s="1">
        <v>4175416</v>
      </c>
      <c r="L11" s="1">
        <v>5183451</v>
      </c>
      <c r="M11" s="1">
        <v>7655825</v>
      </c>
      <c r="N11" s="1">
        <v>10374440</v>
      </c>
      <c r="O11" s="1">
        <v>12900101</v>
      </c>
    </row>
    <row r="12" spans="2:15" x14ac:dyDescent="0.3">
      <c r="B12" s="1" t="s">
        <v>60</v>
      </c>
      <c r="C12" s="1">
        <v>150675</v>
      </c>
      <c r="D12" s="1">
        <v>213569</v>
      </c>
      <c r="E12" s="1">
        <v>307904</v>
      </c>
      <c r="F12" s="1">
        <v>469540</v>
      </c>
      <c r="G12" s="1">
        <v>576929</v>
      </c>
      <c r="H12" s="1">
        <v>978425</v>
      </c>
      <c r="I12" s="1">
        <v>2116944</v>
      </c>
      <c r="J12" s="1">
        <v>3120998</v>
      </c>
      <c r="K12" s="1">
        <v>4145696</v>
      </c>
      <c r="L12" s="1">
        <v>5175419</v>
      </c>
      <c r="M12" s="1">
        <v>7719323</v>
      </c>
      <c r="N12" s="1">
        <v>10267486</v>
      </c>
      <c r="O12" s="1">
        <v>13040372</v>
      </c>
    </row>
    <row r="13" spans="2:15" x14ac:dyDescent="0.3">
      <c r="B13" s="1" t="s">
        <v>61</v>
      </c>
      <c r="C13" s="1">
        <v>187714</v>
      </c>
      <c r="D13" s="1">
        <v>276959</v>
      </c>
      <c r="E13" s="1">
        <v>369295</v>
      </c>
      <c r="F13" s="1">
        <v>444821</v>
      </c>
      <c r="G13" s="1">
        <v>534077</v>
      </c>
      <c r="H13" s="1">
        <v>1110614</v>
      </c>
      <c r="I13" s="1">
        <v>2018208</v>
      </c>
      <c r="J13" s="1">
        <v>3252176</v>
      </c>
      <c r="K13" s="1">
        <v>4126685</v>
      </c>
      <c r="L13" s="1">
        <v>5185801</v>
      </c>
      <c r="M13" s="1">
        <v>7863871</v>
      </c>
      <c r="N13" s="1">
        <v>10407989</v>
      </c>
      <c r="O13" s="1">
        <v>13140935</v>
      </c>
    </row>
  </sheetData>
  <mergeCells count="2">
    <mergeCell ref="C3:O3"/>
    <mergeCell ref="C9:O9"/>
  </mergeCells>
  <phoneticPr fontId="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CE247-9B51-4BB0-A79F-D2680F5A2951}">
  <dimension ref="C3:N43"/>
  <sheetViews>
    <sheetView workbookViewId="0">
      <selection activeCell="E7" sqref="E7"/>
    </sheetView>
  </sheetViews>
  <sheetFormatPr defaultRowHeight="14.15" x14ac:dyDescent="0.3"/>
  <cols>
    <col min="1" max="2" width="9.23046875" style="1"/>
    <col min="3" max="3" width="21.61328125" style="1" bestFit="1" customWidth="1"/>
    <col min="4" max="10" width="6.61328125" style="1" bestFit="1" customWidth="1"/>
    <col min="11" max="13" width="5.53515625" style="1" bestFit="1" customWidth="1"/>
    <col min="14" max="14" width="6.61328125" style="1" bestFit="1" customWidth="1"/>
    <col min="15" max="16384" width="9.23046875" style="1"/>
  </cols>
  <sheetData>
    <row r="3" spans="3:14" x14ac:dyDescent="0.3">
      <c r="C3" s="1" t="s">
        <v>67</v>
      </c>
      <c r="D3" s="25" t="s">
        <v>62</v>
      </c>
      <c r="E3" s="25"/>
      <c r="F3" s="25"/>
      <c r="G3" s="25"/>
      <c r="H3" s="25"/>
      <c r="I3" s="25"/>
      <c r="J3" s="25"/>
      <c r="K3" s="25"/>
      <c r="L3" s="25"/>
    </row>
    <row r="4" spans="3:14" x14ac:dyDescent="0.3">
      <c r="C4" s="1" t="s">
        <v>69</v>
      </c>
      <c r="D4" s="1">
        <v>0.1</v>
      </c>
      <c r="E4" s="1">
        <v>0.15</v>
      </c>
      <c r="F4" s="1">
        <v>0.2</v>
      </c>
      <c r="G4" s="1">
        <v>0.25</v>
      </c>
      <c r="H4" s="1">
        <v>0.3</v>
      </c>
      <c r="I4" s="1">
        <v>0.4</v>
      </c>
      <c r="J4" s="1">
        <v>0.45</v>
      </c>
      <c r="K4" s="1">
        <v>0.5</v>
      </c>
      <c r="L4" s="1">
        <v>0.55000000000000004</v>
      </c>
    </row>
    <row r="5" spans="3:14" x14ac:dyDescent="0.3">
      <c r="C5" s="1" t="s">
        <v>64</v>
      </c>
      <c r="D5" s="20">
        <v>0.61981918238647005</v>
      </c>
      <c r="E5" s="20">
        <v>1.2227209607179477</v>
      </c>
      <c r="F5" s="20">
        <v>1.5894673748387593</v>
      </c>
      <c r="G5" s="20">
        <v>2.0665464130183127</v>
      </c>
      <c r="H5" s="20">
        <v>2.3969103480590501</v>
      </c>
      <c r="I5" s="20">
        <v>2.870571638203808</v>
      </c>
      <c r="J5" s="20">
        <v>3.1162911844150694</v>
      </c>
      <c r="K5" s="20">
        <v>2.9725803920487746</v>
      </c>
      <c r="L5" s="20">
        <v>2.8145095454395119</v>
      </c>
    </row>
    <row r="6" spans="3:14" x14ac:dyDescent="0.3">
      <c r="C6" s="1" t="s">
        <v>65</v>
      </c>
      <c r="D6" s="20">
        <v>0.6557330992359679</v>
      </c>
      <c r="E6" s="20">
        <v>1.3470277642415356</v>
      </c>
      <c r="F6" s="20">
        <v>1.7019498726613231</v>
      </c>
      <c r="G6" s="20">
        <v>2.221089261656175</v>
      </c>
      <c r="H6" s="20">
        <v>2.5630570025247237</v>
      </c>
      <c r="I6" s="20">
        <v>2.9096276782465855</v>
      </c>
      <c r="J6" s="20">
        <v>2.9837156356460097</v>
      </c>
      <c r="K6" s="20">
        <v>2.7255929715665412</v>
      </c>
      <c r="L6" s="20">
        <v>2.8152812949957555</v>
      </c>
    </row>
    <row r="7" spans="3:14" x14ac:dyDescent="0.3">
      <c r="C7" s="1" t="s">
        <v>66</v>
      </c>
      <c r="D7" s="20">
        <v>0.71849287564909647</v>
      </c>
      <c r="E7" s="20">
        <v>1.2355099533642799</v>
      </c>
      <c r="F7" s="20">
        <v>1.8765030847932267</v>
      </c>
      <c r="G7" s="20">
        <v>2.0714249727131406</v>
      </c>
      <c r="H7" s="20">
        <v>2.5070224722445786</v>
      </c>
      <c r="I7" s="20">
        <v>2.7689487591369639</v>
      </c>
      <c r="J7" s="20">
        <v>2.4420852595834761</v>
      </c>
      <c r="K7" s="20">
        <v>2.8677327023361965</v>
      </c>
      <c r="L7" s="20">
        <v>2.7722562572351523</v>
      </c>
    </row>
    <row r="9" spans="3:14" x14ac:dyDescent="0.3">
      <c r="C9" s="1" t="s">
        <v>68</v>
      </c>
      <c r="D9" s="25" t="s">
        <v>62</v>
      </c>
      <c r="E9" s="25"/>
      <c r="F9" s="25"/>
      <c r="G9" s="25"/>
      <c r="H9" s="25"/>
      <c r="I9" s="25"/>
      <c r="J9" s="25"/>
      <c r="K9" s="25"/>
      <c r="L9" s="25"/>
      <c r="M9" s="25"/>
      <c r="N9" s="25"/>
    </row>
    <row r="10" spans="3:14" x14ac:dyDescent="0.3">
      <c r="C10" s="1" t="s">
        <v>69</v>
      </c>
      <c r="D10" s="1">
        <v>0.1</v>
      </c>
      <c r="E10" s="1">
        <v>0.2</v>
      </c>
      <c r="F10" s="1">
        <v>0.4</v>
      </c>
      <c r="G10" s="1">
        <v>0.6</v>
      </c>
      <c r="H10" s="1">
        <v>0.8</v>
      </c>
      <c r="I10" s="1">
        <v>1</v>
      </c>
      <c r="J10" s="1">
        <v>1.5</v>
      </c>
      <c r="K10" s="1">
        <v>2</v>
      </c>
      <c r="L10" s="1">
        <v>2.5</v>
      </c>
      <c r="M10" s="1">
        <v>3</v>
      </c>
      <c r="N10" s="1">
        <v>3.5</v>
      </c>
    </row>
    <row r="11" spans="3:14" x14ac:dyDescent="0.3">
      <c r="C11" s="1" t="s">
        <v>64</v>
      </c>
      <c r="D11" s="20">
        <v>7.6696351675247785</v>
      </c>
      <c r="E11" s="20">
        <v>7.9803746138495963</v>
      </c>
      <c r="F11" s="20">
        <v>8.3562717727087321</v>
      </c>
      <c r="G11" s="20">
        <v>8.9862950354453552</v>
      </c>
      <c r="H11" s="20">
        <v>8.9743880422918743</v>
      </c>
      <c r="I11" s="20">
        <v>9.1944469157580251</v>
      </c>
      <c r="J11" s="20">
        <v>9.1486931920664141</v>
      </c>
      <c r="K11" s="20">
        <v>9.2906951104153119</v>
      </c>
      <c r="L11" s="20">
        <v>9.8928251391905455</v>
      </c>
      <c r="M11" s="20">
        <v>9.3851793060869007</v>
      </c>
      <c r="N11" s="20">
        <v>9.6824682601457503</v>
      </c>
    </row>
    <row r="12" spans="3:14" x14ac:dyDescent="0.3">
      <c r="C12" s="1" t="s">
        <v>65</v>
      </c>
      <c r="D12" s="20">
        <v>7.8903004156422609</v>
      </c>
      <c r="E12" s="20">
        <v>7.9409602615128509</v>
      </c>
      <c r="F12" s="20">
        <v>8.3633277686515335</v>
      </c>
      <c r="G12" s="20">
        <v>9.4292241557611103</v>
      </c>
      <c r="H12" s="20">
        <v>8.967221796412467</v>
      </c>
      <c r="I12" s="20">
        <v>9.1857371707661279</v>
      </c>
      <c r="J12" s="20">
        <v>9.784228951633354</v>
      </c>
      <c r="K12" s="20">
        <v>9.4080010429644005</v>
      </c>
      <c r="L12" s="20">
        <v>9.169695804989912</v>
      </c>
      <c r="M12" s="20">
        <v>9.4213964102620658</v>
      </c>
      <c r="N12" s="20">
        <v>10.130965002260124</v>
      </c>
    </row>
    <row r="13" spans="3:14" x14ac:dyDescent="0.3">
      <c r="C13" s="1" t="s">
        <v>66</v>
      </c>
      <c r="D13" s="20">
        <v>7.7643949880378829</v>
      </c>
      <c r="E13" s="20">
        <v>7.9606674376812236</v>
      </c>
      <c r="F13" s="20">
        <v>8.1680200059534975</v>
      </c>
      <c r="G13" s="20">
        <v>8.6914867049601447</v>
      </c>
      <c r="H13" s="20">
        <v>9.2773548680859523</v>
      </c>
      <c r="I13" s="20">
        <v>8.9777506653583679</v>
      </c>
      <c r="J13" s="20">
        <v>9.418088912163876</v>
      </c>
      <c r="K13" s="20">
        <v>9.79398607102301</v>
      </c>
      <c r="L13" s="20">
        <v>9.0443416270685653</v>
      </c>
      <c r="M13" s="20">
        <v>9.4545265162122547</v>
      </c>
      <c r="N13" s="20">
        <v>9.2339715180313782</v>
      </c>
    </row>
    <row r="15" spans="3:14" x14ac:dyDescent="0.3">
      <c r="C15" s="1" t="s">
        <v>70</v>
      </c>
      <c r="D15" s="25" t="s">
        <v>63</v>
      </c>
      <c r="E15" s="25"/>
      <c r="F15" s="25"/>
      <c r="G15" s="25"/>
      <c r="H15" s="25"/>
      <c r="I15" s="25"/>
      <c r="J15" s="25"/>
      <c r="K15" s="25"/>
      <c r="L15" s="25"/>
      <c r="M15" s="25"/>
      <c r="N15" s="25"/>
    </row>
    <row r="16" spans="3:14" x14ac:dyDescent="0.3">
      <c r="C16" s="1" t="s">
        <v>69</v>
      </c>
      <c r="D16" s="1">
        <v>0.1</v>
      </c>
      <c r="E16" s="1">
        <v>0.2</v>
      </c>
      <c r="F16" s="1">
        <v>0.4</v>
      </c>
      <c r="G16" s="1">
        <v>0.6</v>
      </c>
      <c r="H16" s="1">
        <v>0.8</v>
      </c>
      <c r="I16" s="1">
        <v>1</v>
      </c>
      <c r="J16" s="1">
        <v>1.5</v>
      </c>
      <c r="K16" s="1">
        <v>2</v>
      </c>
      <c r="L16" s="1">
        <v>2.5</v>
      </c>
      <c r="M16" s="1">
        <v>3</v>
      </c>
      <c r="N16" s="1">
        <v>3.5</v>
      </c>
    </row>
    <row r="17" spans="3:14" x14ac:dyDescent="0.3">
      <c r="C17" s="1" t="s">
        <v>64</v>
      </c>
      <c r="D17" s="20">
        <v>7.6696351675247785</v>
      </c>
      <c r="E17" s="20">
        <v>7.9803746138495963</v>
      </c>
      <c r="F17" s="20">
        <v>8.3562717727087321</v>
      </c>
      <c r="G17" s="20">
        <v>8.9862950354453552</v>
      </c>
      <c r="H17" s="20">
        <v>8.9743880422918743</v>
      </c>
      <c r="I17" s="20">
        <v>9.1944469157580251</v>
      </c>
      <c r="J17" s="20">
        <v>9.1486931920664141</v>
      </c>
      <c r="K17" s="20">
        <v>9.2906951104153119</v>
      </c>
      <c r="L17" s="20">
        <v>9.8928251391905455</v>
      </c>
      <c r="M17" s="20">
        <v>9.3851793060869007</v>
      </c>
      <c r="N17" s="20">
        <v>9.6824682601457503</v>
      </c>
    </row>
    <row r="18" spans="3:14" x14ac:dyDescent="0.3">
      <c r="C18" s="1" t="s">
        <v>65</v>
      </c>
      <c r="D18" s="20">
        <v>7.8903004156422609</v>
      </c>
      <c r="E18" s="20">
        <v>7.9409602615128509</v>
      </c>
      <c r="F18" s="20">
        <v>8.3633277686515335</v>
      </c>
      <c r="G18" s="20">
        <v>9.4292241557611103</v>
      </c>
      <c r="H18" s="20">
        <v>8.967221796412467</v>
      </c>
      <c r="I18" s="20">
        <v>9.1857371707661279</v>
      </c>
      <c r="J18" s="20">
        <v>9.784228951633354</v>
      </c>
      <c r="K18" s="20">
        <v>9.4080010429644005</v>
      </c>
      <c r="L18" s="20">
        <v>9.169695804989912</v>
      </c>
      <c r="M18" s="20">
        <v>9.4213964102620658</v>
      </c>
      <c r="N18" s="20">
        <v>10.130965002260124</v>
      </c>
    </row>
    <row r="19" spans="3:14" x14ac:dyDescent="0.3">
      <c r="C19" s="1" t="s">
        <v>66</v>
      </c>
      <c r="D19" s="20">
        <v>7.7643949880378829</v>
      </c>
      <c r="E19" s="20">
        <v>7.9606674376812236</v>
      </c>
      <c r="F19" s="20">
        <v>8.1680200059534975</v>
      </c>
      <c r="G19" s="20">
        <v>8.6914867049601447</v>
      </c>
      <c r="H19" s="20">
        <v>9.2773548680859523</v>
      </c>
      <c r="I19" s="20">
        <v>8.9777506653583679</v>
      </c>
      <c r="J19" s="20">
        <v>9.418088912163876</v>
      </c>
      <c r="K19" s="20">
        <v>9.79398607102301</v>
      </c>
      <c r="L19" s="20">
        <v>9.0443416270685653</v>
      </c>
      <c r="M19" s="20">
        <v>9.4545265162122547</v>
      </c>
      <c r="N19" s="20">
        <v>9.2339715180313782</v>
      </c>
    </row>
    <row r="21" spans="3:14" x14ac:dyDescent="0.3">
      <c r="C21" s="1" t="s">
        <v>71</v>
      </c>
      <c r="D21" s="25" t="s">
        <v>62</v>
      </c>
      <c r="E21" s="25"/>
      <c r="F21" s="25"/>
      <c r="G21" s="25"/>
      <c r="H21" s="25"/>
      <c r="I21" s="25"/>
      <c r="J21" s="25"/>
    </row>
    <row r="22" spans="3:14" x14ac:dyDescent="0.3">
      <c r="C22" s="1" t="s">
        <v>69</v>
      </c>
      <c r="D22" s="1">
        <v>0.4</v>
      </c>
      <c r="E22" s="1">
        <v>0.6</v>
      </c>
      <c r="F22" s="1">
        <v>0.8</v>
      </c>
      <c r="G22" s="1">
        <v>1</v>
      </c>
      <c r="H22" s="1">
        <v>1.5</v>
      </c>
      <c r="I22" s="1">
        <v>2</v>
      </c>
      <c r="J22" s="1">
        <v>2.5</v>
      </c>
    </row>
    <row r="23" spans="3:14" x14ac:dyDescent="0.3">
      <c r="C23" s="1" t="s">
        <v>64</v>
      </c>
      <c r="D23" s="20">
        <v>3.5057766479609271</v>
      </c>
      <c r="E23" s="20">
        <v>3.6884332304333922</v>
      </c>
      <c r="F23" s="20">
        <v>3.8615531933894141</v>
      </c>
      <c r="G23" s="20">
        <v>4.1003821185627825</v>
      </c>
      <c r="H23" s="20">
        <v>4.1128127989151411</v>
      </c>
      <c r="I23" s="20">
        <v>4.316968119025832</v>
      </c>
      <c r="J23" s="20">
        <v>4.1127301114626862</v>
      </c>
    </row>
    <row r="24" spans="3:14" x14ac:dyDescent="0.3">
      <c r="C24" s="1" t="s">
        <v>65</v>
      </c>
      <c r="D24" s="20">
        <v>3.0990370693361853</v>
      </c>
      <c r="E24" s="20">
        <v>3.2651010363494044</v>
      </c>
      <c r="F24" s="20">
        <v>3.8844300552352182</v>
      </c>
      <c r="G24" s="20">
        <v>4.0646611391023448</v>
      </c>
      <c r="H24" s="20">
        <v>4.3458536024166783</v>
      </c>
      <c r="I24" s="20">
        <v>4.4201620596893161</v>
      </c>
      <c r="J24" s="20">
        <v>4.0273966605294209</v>
      </c>
    </row>
    <row r="25" spans="3:14" x14ac:dyDescent="0.3">
      <c r="C25" s="1" t="s">
        <v>66</v>
      </c>
      <c r="D25" s="20">
        <v>2.9058240554336683</v>
      </c>
      <c r="E25" s="20">
        <v>3.9925852430459856</v>
      </c>
      <c r="F25" s="20">
        <v>4.1558653991598957</v>
      </c>
      <c r="G25" s="20">
        <v>4.15647177381123</v>
      </c>
      <c r="H25" s="20">
        <v>4.397698635105785</v>
      </c>
      <c r="I25" s="20">
        <v>4.5844069027485315</v>
      </c>
      <c r="J25" s="20">
        <v>4.5899193995788456</v>
      </c>
    </row>
    <row r="27" spans="3:14" x14ac:dyDescent="0.3">
      <c r="C27" s="1" t="s">
        <v>72</v>
      </c>
      <c r="D27" s="25" t="s">
        <v>62</v>
      </c>
      <c r="E27" s="25"/>
      <c r="F27" s="25"/>
      <c r="G27" s="25"/>
      <c r="H27" s="25"/>
      <c r="I27" s="25"/>
    </row>
    <row r="28" spans="3:14" x14ac:dyDescent="0.3">
      <c r="C28" s="1" t="s">
        <v>69</v>
      </c>
      <c r="D28" s="1">
        <v>0.4</v>
      </c>
      <c r="E28" s="1">
        <v>0.6</v>
      </c>
      <c r="F28" s="1">
        <v>0.8</v>
      </c>
      <c r="G28" s="1">
        <v>2</v>
      </c>
      <c r="H28" s="1">
        <v>2.5</v>
      </c>
      <c r="I28" s="1">
        <v>3</v>
      </c>
    </row>
    <row r="29" spans="3:14" x14ac:dyDescent="0.3">
      <c r="C29" s="1" t="s">
        <v>64</v>
      </c>
      <c r="D29" s="20">
        <v>3.7564850038036233</v>
      </c>
      <c r="E29" s="20">
        <v>4.4841621478892657</v>
      </c>
      <c r="F29" s="20">
        <v>5.0589777548702912</v>
      </c>
      <c r="G29" s="20">
        <v>4.5539779202451962</v>
      </c>
      <c r="H29" s="20">
        <v>4.7958938436435403</v>
      </c>
      <c r="I29" s="20">
        <v>5.9250461318809746</v>
      </c>
    </row>
    <row r="30" spans="3:14" x14ac:dyDescent="0.3">
      <c r="C30" s="1" t="s">
        <v>65</v>
      </c>
      <c r="D30" s="20">
        <v>3.9326919649846204</v>
      </c>
      <c r="E30" s="20">
        <v>4.956748501152112</v>
      </c>
      <c r="F30" s="20">
        <v>4.6447136180721689</v>
      </c>
      <c r="G30" s="20">
        <v>5.2479461462134669</v>
      </c>
      <c r="H30" s="20">
        <v>5.0805591799609715</v>
      </c>
      <c r="I30" s="20">
        <v>4.9367657001422227</v>
      </c>
    </row>
    <row r="31" spans="3:14" x14ac:dyDescent="0.3">
      <c r="C31" s="1" t="s">
        <v>66</v>
      </c>
      <c r="D31" s="20">
        <v>3.7110895924059846</v>
      </c>
      <c r="E31" s="20">
        <v>4.2244408597290057</v>
      </c>
      <c r="F31" s="20">
        <v>4.3863980166036409</v>
      </c>
      <c r="G31" s="20">
        <v>5.3530143357992568</v>
      </c>
      <c r="H31" s="20">
        <v>5.4368869750724889</v>
      </c>
      <c r="I31" s="20">
        <v>5.5975211327078487</v>
      </c>
    </row>
    <row r="33" spans="3:10" x14ac:dyDescent="0.3">
      <c r="C33" s="1" t="s">
        <v>73</v>
      </c>
      <c r="D33" s="25" t="s">
        <v>63</v>
      </c>
      <c r="E33" s="25"/>
      <c r="F33" s="25"/>
      <c r="G33" s="25"/>
      <c r="H33" s="25"/>
      <c r="I33" s="25"/>
      <c r="J33" s="25"/>
    </row>
    <row r="34" spans="3:10" x14ac:dyDescent="0.3">
      <c r="C34" s="1" t="s">
        <v>69</v>
      </c>
      <c r="D34" s="1">
        <v>0.2</v>
      </c>
      <c r="E34" s="1">
        <v>0.6</v>
      </c>
      <c r="F34" s="1">
        <v>0.8</v>
      </c>
      <c r="G34" s="1">
        <v>1</v>
      </c>
      <c r="H34" s="1">
        <v>1.5</v>
      </c>
      <c r="I34" s="1">
        <v>2.5</v>
      </c>
      <c r="J34" s="1">
        <v>3</v>
      </c>
    </row>
    <row r="35" spans="3:10" x14ac:dyDescent="0.3">
      <c r="C35" s="1" t="s">
        <v>64</v>
      </c>
      <c r="D35" s="20">
        <v>12.49375738223425</v>
      </c>
      <c r="E35" s="20">
        <v>20.918013362274007</v>
      </c>
      <c r="F35" s="20">
        <v>16.686196053945583</v>
      </c>
      <c r="G35" s="20">
        <v>22.202040442174834</v>
      </c>
      <c r="H35" s="20">
        <v>20.805610981914178</v>
      </c>
      <c r="I35" s="20">
        <v>20.256326255469695</v>
      </c>
      <c r="J35" s="20">
        <v>28.929770248022407</v>
      </c>
    </row>
    <row r="36" spans="3:10" x14ac:dyDescent="0.3">
      <c r="C36" s="1" t="s">
        <v>65</v>
      </c>
      <c r="D36" s="20">
        <v>10.64204787686143</v>
      </c>
      <c r="E36" s="20">
        <v>20.598542359126863</v>
      </c>
      <c r="F36" s="20">
        <v>21.929855305877499</v>
      </c>
      <c r="G36" s="20">
        <v>21.826557266303542</v>
      </c>
      <c r="H36" s="20">
        <v>23.927927327828723</v>
      </c>
      <c r="I36" s="20">
        <v>21.716958644870854</v>
      </c>
      <c r="J36" s="20">
        <v>27.512548867627931</v>
      </c>
    </row>
    <row r="37" spans="3:10" x14ac:dyDescent="0.3">
      <c r="C37" s="1" t="s">
        <v>66</v>
      </c>
      <c r="D37" s="20">
        <v>12.745654644946461</v>
      </c>
      <c r="E37" s="20">
        <v>20.758277860700399</v>
      </c>
      <c r="F37" s="20">
        <v>25.700816554148776</v>
      </c>
      <c r="G37" s="20">
        <v>22.577523618046126</v>
      </c>
      <c r="H37" s="20">
        <v>22.366769154871449</v>
      </c>
      <c r="I37" s="20">
        <v>19.457916522330837</v>
      </c>
      <c r="J37" s="20">
        <v>24.900989190091703</v>
      </c>
    </row>
    <row r="39" spans="3:10" x14ac:dyDescent="0.3">
      <c r="C39" s="1" t="s">
        <v>74</v>
      </c>
      <c r="D39" s="25" t="s">
        <v>63</v>
      </c>
      <c r="E39" s="25"/>
      <c r="F39" s="25"/>
      <c r="G39" s="25"/>
      <c r="H39" s="25"/>
      <c r="I39" s="25"/>
      <c r="J39" s="25"/>
    </row>
    <row r="40" spans="3:10" x14ac:dyDescent="0.3">
      <c r="C40" s="1" t="s">
        <v>69</v>
      </c>
      <c r="D40" s="1">
        <v>0.2</v>
      </c>
      <c r="E40" s="1">
        <v>0.4</v>
      </c>
      <c r="F40" s="1">
        <v>0.6</v>
      </c>
      <c r="G40" s="1">
        <v>0.8</v>
      </c>
      <c r="H40" s="1">
        <v>1</v>
      </c>
      <c r="I40" s="1">
        <v>1.5</v>
      </c>
      <c r="J40" s="1">
        <v>2.5</v>
      </c>
    </row>
    <row r="41" spans="3:10" x14ac:dyDescent="0.3">
      <c r="C41" s="1" t="s">
        <v>64</v>
      </c>
      <c r="D41" s="20">
        <v>8.2542533640381688</v>
      </c>
      <c r="E41" s="20">
        <v>10.11995016113738</v>
      </c>
      <c r="F41" s="20">
        <v>8.2759903714508027</v>
      </c>
      <c r="G41" s="20">
        <v>9.6568101401564448</v>
      </c>
      <c r="H41" s="20">
        <v>8.0376393597348716</v>
      </c>
      <c r="I41" s="20">
        <v>12.059584286348844</v>
      </c>
      <c r="J41" s="20">
        <v>12.043234276425428</v>
      </c>
    </row>
    <row r="42" spans="3:10" x14ac:dyDescent="0.3">
      <c r="C42" s="1" t="s">
        <v>65</v>
      </c>
      <c r="D42" s="20">
        <v>8.6639486994023915</v>
      </c>
      <c r="E42" s="20">
        <v>9.920662756945605</v>
      </c>
      <c r="F42" s="20">
        <v>8.8855086604647937</v>
      </c>
      <c r="G42" s="20">
        <v>9.5092662644795247</v>
      </c>
      <c r="H42" s="20">
        <v>11.082238028421926</v>
      </c>
      <c r="I42" s="20">
        <v>11.538242640447846</v>
      </c>
      <c r="J42" s="20">
        <v>11.894981585289402</v>
      </c>
    </row>
    <row r="43" spans="3:10" x14ac:dyDescent="0.3">
      <c r="C43" s="1" t="s">
        <v>66</v>
      </c>
      <c r="D43" s="20">
        <v>6.6759891113344327</v>
      </c>
      <c r="E43" s="20">
        <v>8.8623225192246515</v>
      </c>
      <c r="F43" s="20">
        <v>9.0561284171993286</v>
      </c>
      <c r="G43" s="20">
        <v>9.8043540158333631</v>
      </c>
      <c r="H43" s="20">
        <v>10.886069412250221</v>
      </c>
      <c r="I43" s="20">
        <v>9.9324133421121452</v>
      </c>
      <c r="J43" s="20">
        <v>11.499746085290976</v>
      </c>
    </row>
  </sheetData>
  <mergeCells count="7">
    <mergeCell ref="D27:I27"/>
    <mergeCell ref="D33:J33"/>
    <mergeCell ref="D39:J39"/>
    <mergeCell ref="D3:L3"/>
    <mergeCell ref="D9:N9"/>
    <mergeCell ref="D15:N15"/>
    <mergeCell ref="D21:J21"/>
  </mergeCells>
  <phoneticPr fontId="4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E5DFA-62E1-4737-A967-0E7FAC9C81AB}">
  <dimension ref="C3:M24"/>
  <sheetViews>
    <sheetView zoomScaleNormal="100" workbookViewId="0">
      <selection activeCell="C6" sqref="C6"/>
    </sheetView>
  </sheetViews>
  <sheetFormatPr defaultRowHeight="14.15" x14ac:dyDescent="0.3"/>
  <cols>
    <col min="1" max="2" width="9.23046875" style="1"/>
    <col min="3" max="3" width="27.69140625" style="1" bestFit="1" customWidth="1"/>
    <col min="4" max="4" width="5.53515625" style="1" bestFit="1" customWidth="1"/>
    <col min="5" max="13" width="6.61328125" style="1" bestFit="1" customWidth="1"/>
    <col min="14" max="16384" width="9.23046875" style="1"/>
  </cols>
  <sheetData>
    <row r="3" spans="3:13" x14ac:dyDescent="0.3">
      <c r="C3" s="1" t="s">
        <v>75</v>
      </c>
      <c r="D3" s="25" t="s">
        <v>62</v>
      </c>
      <c r="E3" s="25"/>
      <c r="F3" s="25"/>
      <c r="G3" s="25"/>
      <c r="H3" s="25"/>
      <c r="I3" s="25"/>
      <c r="J3" s="25"/>
      <c r="K3" s="25"/>
      <c r="L3" s="25"/>
    </row>
    <row r="4" spans="3:13" x14ac:dyDescent="0.3">
      <c r="C4" s="1" t="s">
        <v>69</v>
      </c>
      <c r="D4" s="1">
        <v>0.2</v>
      </c>
      <c r="E4" s="1">
        <v>0.4</v>
      </c>
      <c r="F4" s="1">
        <v>0.6</v>
      </c>
      <c r="G4" s="1">
        <v>0.8</v>
      </c>
      <c r="H4" s="1">
        <v>1</v>
      </c>
      <c r="I4" s="1">
        <v>1.5</v>
      </c>
      <c r="J4" s="1">
        <v>2</v>
      </c>
      <c r="K4" s="1">
        <v>2.5</v>
      </c>
      <c r="L4" s="1">
        <v>3</v>
      </c>
    </row>
    <row r="5" spans="3:13" x14ac:dyDescent="0.3">
      <c r="C5" s="1" t="s">
        <v>64</v>
      </c>
      <c r="D5" s="20">
        <v>7.6157289097383769</v>
      </c>
      <c r="E5" s="20">
        <v>11.911755502023086</v>
      </c>
      <c r="F5" s="20">
        <v>14.326780363383794</v>
      </c>
      <c r="G5" s="20">
        <v>16.735548540842089</v>
      </c>
      <c r="H5" s="20">
        <v>18.836471332811481</v>
      </c>
      <c r="I5" s="20">
        <v>21.959824474383428</v>
      </c>
      <c r="J5" s="20">
        <v>21.272388557159079</v>
      </c>
      <c r="K5" s="20">
        <v>20.701679760316633</v>
      </c>
      <c r="L5" s="20">
        <v>19.538818553961832</v>
      </c>
    </row>
    <row r="6" spans="3:13" x14ac:dyDescent="0.3">
      <c r="C6" s="1" t="s">
        <v>65</v>
      </c>
      <c r="D6" s="20">
        <v>7.9867750713868348</v>
      </c>
      <c r="E6" s="20">
        <v>10.950017742522299</v>
      </c>
      <c r="F6" s="20">
        <v>15.193703177403174</v>
      </c>
      <c r="G6" s="20">
        <v>17.453082690759953</v>
      </c>
      <c r="H6" s="20">
        <v>19.008378546464833</v>
      </c>
      <c r="I6" s="20">
        <v>24.340892355269396</v>
      </c>
      <c r="J6" s="20">
        <v>21.771875894953858</v>
      </c>
      <c r="K6" s="20">
        <v>20.379033320838339</v>
      </c>
      <c r="L6" s="20">
        <v>20.31310385874778</v>
      </c>
    </row>
    <row r="7" spans="3:13" x14ac:dyDescent="0.3">
      <c r="C7" s="1" t="s">
        <v>66</v>
      </c>
      <c r="D7" s="20">
        <v>6.6115449246441687</v>
      </c>
      <c r="E7" s="20">
        <v>11.305849412919088</v>
      </c>
      <c r="F7" s="20">
        <v>14.663070232517114</v>
      </c>
      <c r="G7" s="20">
        <v>17.684855619990518</v>
      </c>
      <c r="H7" s="20">
        <v>18.24503554788706</v>
      </c>
      <c r="I7" s="20">
        <v>21.032815444913616</v>
      </c>
      <c r="J7" s="20">
        <v>21.575107320595791</v>
      </c>
      <c r="K7" s="20">
        <v>20.752642793512894</v>
      </c>
      <c r="L7" s="20">
        <v>20.701128510633602</v>
      </c>
    </row>
    <row r="9" spans="3:13" x14ac:dyDescent="0.3">
      <c r="C9" s="1" t="s">
        <v>76</v>
      </c>
      <c r="D9" s="25" t="s">
        <v>63</v>
      </c>
      <c r="E9" s="25"/>
      <c r="F9" s="25"/>
      <c r="G9" s="25"/>
      <c r="H9" s="25"/>
      <c r="I9" s="25"/>
      <c r="J9" s="25"/>
      <c r="K9" s="25"/>
      <c r="L9" s="25"/>
      <c r="M9" s="25"/>
    </row>
    <row r="10" spans="3:13" x14ac:dyDescent="0.3">
      <c r="C10" s="1" t="s">
        <v>69</v>
      </c>
      <c r="D10" s="1">
        <v>0.2</v>
      </c>
      <c r="E10" s="1">
        <v>0.4</v>
      </c>
      <c r="F10" s="1">
        <v>0.6</v>
      </c>
      <c r="G10" s="1">
        <v>0.8</v>
      </c>
      <c r="H10" s="1">
        <v>1</v>
      </c>
      <c r="I10" s="1">
        <v>1.5</v>
      </c>
      <c r="J10" s="1">
        <v>2</v>
      </c>
      <c r="K10" s="1">
        <v>2.5</v>
      </c>
      <c r="L10" s="1">
        <v>3</v>
      </c>
      <c r="M10" s="1">
        <v>3.5</v>
      </c>
    </row>
    <row r="11" spans="3:13" x14ac:dyDescent="0.3">
      <c r="C11" s="1" t="s">
        <v>64</v>
      </c>
      <c r="D11" s="20">
        <v>6.0454898847308547</v>
      </c>
      <c r="E11" s="20">
        <v>8.3691129713229024</v>
      </c>
      <c r="F11" s="20">
        <v>11.126153083977306</v>
      </c>
      <c r="G11" s="20">
        <v>13.929975016932811</v>
      </c>
      <c r="H11" s="20">
        <v>15.238920898084936</v>
      </c>
      <c r="I11" s="20">
        <v>18.251292090564565</v>
      </c>
      <c r="J11" s="20">
        <v>20.399223452025794</v>
      </c>
      <c r="K11" s="20">
        <v>23.409452446673448</v>
      </c>
      <c r="L11" s="20">
        <v>23.485878504619901</v>
      </c>
      <c r="M11" s="20">
        <v>23.684756370990861</v>
      </c>
    </row>
    <row r="12" spans="3:13" x14ac:dyDescent="0.3">
      <c r="C12" s="1" t="s">
        <v>65</v>
      </c>
      <c r="D12" s="20">
        <v>5.1015367106552301</v>
      </c>
      <c r="E12" s="20">
        <v>8.8776014302320814</v>
      </c>
      <c r="F12" s="20">
        <v>11.904085926075274</v>
      </c>
      <c r="G12" s="20">
        <v>13.088280286424453</v>
      </c>
      <c r="H12" s="20">
        <v>15.895221007400034</v>
      </c>
      <c r="I12" s="20">
        <v>20.206236629692754</v>
      </c>
      <c r="J12" s="20">
        <v>20.561463434888214</v>
      </c>
      <c r="K12" s="20">
        <v>23.603163835920249</v>
      </c>
      <c r="L12" s="20">
        <v>23.394992611307654</v>
      </c>
      <c r="M12" s="20">
        <v>25.409383140273007</v>
      </c>
    </row>
    <row r="14" spans="3:13" x14ac:dyDescent="0.3">
      <c r="C14" s="1" t="s">
        <v>77</v>
      </c>
      <c r="D14" s="25" t="s">
        <v>62</v>
      </c>
      <c r="E14" s="25"/>
      <c r="F14" s="25"/>
      <c r="G14" s="25"/>
      <c r="H14" s="25"/>
      <c r="I14" s="25"/>
      <c r="J14" s="25"/>
      <c r="K14" s="25"/>
      <c r="L14" s="25"/>
    </row>
    <row r="15" spans="3:13" x14ac:dyDescent="0.3">
      <c r="C15" s="1" t="s">
        <v>69</v>
      </c>
      <c r="D15" s="1">
        <v>0.2</v>
      </c>
      <c r="E15" s="1">
        <v>0.4</v>
      </c>
      <c r="F15" s="1">
        <v>0.6</v>
      </c>
      <c r="G15" s="1">
        <v>0.8</v>
      </c>
      <c r="H15" s="1">
        <v>1</v>
      </c>
      <c r="I15" s="1">
        <v>1.5</v>
      </c>
      <c r="J15" s="1">
        <v>2</v>
      </c>
      <c r="K15" s="1">
        <v>2.5</v>
      </c>
      <c r="L15" s="1">
        <v>3</v>
      </c>
    </row>
    <row r="16" spans="3:13" x14ac:dyDescent="0.3">
      <c r="C16" s="1" t="s">
        <v>64</v>
      </c>
      <c r="D16" s="20">
        <v>7.6157289097383769</v>
      </c>
      <c r="E16" s="20">
        <v>11.911755502023086</v>
      </c>
      <c r="F16" s="20">
        <v>14.326780363383794</v>
      </c>
      <c r="G16" s="20">
        <v>16.735548540842089</v>
      </c>
      <c r="H16" s="20">
        <v>18.836471332811481</v>
      </c>
      <c r="I16" s="20">
        <v>21.959824474383428</v>
      </c>
      <c r="J16" s="20">
        <v>21.272388557159079</v>
      </c>
      <c r="K16" s="20">
        <v>20.701679760316633</v>
      </c>
      <c r="L16" s="20">
        <v>19.538818553961832</v>
      </c>
    </row>
    <row r="17" spans="3:12" x14ac:dyDescent="0.3">
      <c r="C17" s="1" t="s">
        <v>65</v>
      </c>
      <c r="D17" s="20">
        <v>7.9867750713868348</v>
      </c>
      <c r="E17" s="20">
        <v>10.950017742522299</v>
      </c>
      <c r="F17" s="20">
        <v>15.193703177403174</v>
      </c>
      <c r="G17" s="20">
        <v>17.453082690759953</v>
      </c>
      <c r="H17" s="20">
        <v>19.008378546464833</v>
      </c>
      <c r="I17" s="20">
        <v>24.340892355269396</v>
      </c>
      <c r="J17" s="20">
        <v>21.771875894953858</v>
      </c>
      <c r="K17" s="20">
        <v>20.379033320838339</v>
      </c>
      <c r="L17" s="20">
        <v>20.31310385874778</v>
      </c>
    </row>
    <row r="18" spans="3:12" x14ac:dyDescent="0.3">
      <c r="C18" s="1" t="s">
        <v>66</v>
      </c>
      <c r="D18" s="20">
        <v>6.6115449246441687</v>
      </c>
      <c r="E18" s="20">
        <v>11.305849412919088</v>
      </c>
      <c r="F18" s="20">
        <v>14.663070232517114</v>
      </c>
      <c r="G18" s="20">
        <v>17.684855619990518</v>
      </c>
      <c r="H18" s="20">
        <v>18.24503554788706</v>
      </c>
      <c r="I18" s="20">
        <v>21.032815444913616</v>
      </c>
      <c r="J18" s="20">
        <v>21.575107320595791</v>
      </c>
      <c r="K18" s="20">
        <v>20.752642793512894</v>
      </c>
      <c r="L18" s="20">
        <v>20.701128510633602</v>
      </c>
    </row>
    <row r="20" spans="3:12" x14ac:dyDescent="0.3">
      <c r="C20" s="1" t="s">
        <v>78</v>
      </c>
      <c r="D20" s="25" t="s">
        <v>62</v>
      </c>
      <c r="E20" s="25"/>
      <c r="F20" s="25"/>
      <c r="G20" s="25"/>
      <c r="H20" s="25"/>
      <c r="I20" s="25"/>
      <c r="J20" s="25"/>
      <c r="K20" s="25"/>
      <c r="L20" s="25"/>
    </row>
    <row r="21" spans="3:12" x14ac:dyDescent="0.3">
      <c r="C21" s="1" t="s">
        <v>69</v>
      </c>
      <c r="D21" s="1">
        <v>0.2</v>
      </c>
      <c r="E21" s="1">
        <v>0.4</v>
      </c>
      <c r="F21" s="1">
        <v>0.6</v>
      </c>
      <c r="G21" s="1">
        <v>0.8</v>
      </c>
      <c r="H21" s="1">
        <v>1</v>
      </c>
      <c r="I21" s="1">
        <v>1.5</v>
      </c>
      <c r="J21" s="1">
        <v>2</v>
      </c>
      <c r="K21" s="1">
        <v>2.5</v>
      </c>
      <c r="L21" s="1">
        <v>3</v>
      </c>
    </row>
    <row r="22" spans="3:12" x14ac:dyDescent="0.3">
      <c r="C22" s="1" t="s">
        <v>64</v>
      </c>
      <c r="D22" s="20">
        <v>1.6362409104439763</v>
      </c>
      <c r="E22" s="20">
        <v>2.8871918161472054</v>
      </c>
      <c r="F22" s="20">
        <v>3.8048847259737828</v>
      </c>
      <c r="G22" s="20">
        <v>3.6125812740482672</v>
      </c>
      <c r="H22" s="20">
        <v>4.7213924489818417</v>
      </c>
      <c r="I22" s="20">
        <v>4.2744116434958048</v>
      </c>
      <c r="J22" s="20">
        <v>4.7652443612669924</v>
      </c>
      <c r="K22" s="20">
        <v>4.3706598381530934</v>
      </c>
      <c r="L22" s="20">
        <v>4.2136363659415901</v>
      </c>
    </row>
    <row r="23" spans="3:12" x14ac:dyDescent="0.3">
      <c r="C23" s="1" t="s">
        <v>65</v>
      </c>
      <c r="D23" s="20">
        <v>1.5695948237654762</v>
      </c>
      <c r="E23" s="20">
        <v>2.8419066546861735</v>
      </c>
      <c r="F23" s="20">
        <v>3.6629930575614922</v>
      </c>
      <c r="G23" s="20">
        <v>4.2502669073790287</v>
      </c>
      <c r="H23" s="20">
        <v>4.1225147933364941</v>
      </c>
      <c r="I23" s="20">
        <v>4.6446309306197149</v>
      </c>
      <c r="J23" s="20">
        <v>4.0287747847369992</v>
      </c>
      <c r="K23" s="20">
        <v>4.6008065808187162</v>
      </c>
      <c r="L23" s="20">
        <v>4.3198621798617474</v>
      </c>
    </row>
    <row r="24" spans="3:12" x14ac:dyDescent="0.3">
      <c r="C24" s="1" t="s">
        <v>66</v>
      </c>
      <c r="D24" s="20">
        <v>1.7421084120701629</v>
      </c>
      <c r="E24" s="20">
        <v>2.9925080680903613</v>
      </c>
      <c r="F24" s="20">
        <v>3.7008363483015998</v>
      </c>
      <c r="G24" s="20">
        <v>4.0214156014685294</v>
      </c>
      <c r="H24" s="20">
        <v>4.3408372303010925</v>
      </c>
      <c r="I24" s="20">
        <v>4.0991418067759611</v>
      </c>
      <c r="J24" s="20">
        <v>4.3970095730019958</v>
      </c>
      <c r="K24" s="20">
        <v>4.6008065808187162</v>
      </c>
      <c r="L24" s="20">
        <v>4.4260879937819038</v>
      </c>
    </row>
  </sheetData>
  <mergeCells count="4">
    <mergeCell ref="D3:L3"/>
    <mergeCell ref="D9:M9"/>
    <mergeCell ref="D14:L14"/>
    <mergeCell ref="D20:L20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Fig. 2c</vt:lpstr>
      <vt:lpstr>Fig. 4b</vt:lpstr>
      <vt:lpstr>Fig. 5</vt:lpstr>
      <vt:lpstr>Supplementary Fig. 3c</vt:lpstr>
      <vt:lpstr>Supplementary Fig. 4 </vt:lpstr>
      <vt:lpstr>Supplementary Fig. 5</vt:lpstr>
      <vt:lpstr>Supplementary Fig. 7</vt:lpstr>
      <vt:lpstr>Supplementary Fig. 8</vt:lpstr>
      <vt:lpstr>Supplementary Fig. 10 </vt:lpstr>
      <vt:lpstr>Supplementary Fig. 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 Li</dc:creator>
  <cp:lastModifiedBy>Min Li</cp:lastModifiedBy>
  <dcterms:created xsi:type="dcterms:W3CDTF">2023-05-12T11:15:00Z</dcterms:created>
  <dcterms:modified xsi:type="dcterms:W3CDTF">2024-09-28T14:54:50Z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