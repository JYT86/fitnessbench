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per\Paper_3\Data for publication\"/>
    </mc:Choice>
  </mc:AlternateContent>
  <xr:revisionPtr revIDLastSave="0" documentId="8_{D9A7023E-DF4E-4390-ACDC-B4131F310F25}" xr6:coauthVersionLast="47" xr6:coauthVersionMax="47" xr10:uidLastSave="{00000000-0000-0000-0000-000000000000}"/>
  <bookViews>
    <workbookView xWindow="-120" yWindow="-120" windowWidth="38640" windowHeight="21240" xr2:uid="{3460B881-2B52-4334-A9DF-5D426836BF6B}"/>
  </bookViews>
  <sheets>
    <sheet name="Sheet1" sheetId="1" r:id="rId1"/>
    <sheet name="Epoxide Dia" sheetId="2" r:id="rId2"/>
    <sheet name="Sheet3" sheetId="3" r:id="rId3"/>
    <sheet name="Sheet2" sheetId="4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" l="1"/>
  <c r="O4" i="1"/>
  <c r="Q5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N5" i="1"/>
  <c r="N6" i="1"/>
  <c r="N7" i="1"/>
  <c r="N8" i="1"/>
  <c r="L8" i="1" s="1"/>
  <c r="M8" i="1" s="1"/>
  <c r="N9" i="1"/>
  <c r="N10" i="1"/>
  <c r="N11" i="1"/>
  <c r="N12" i="1"/>
  <c r="L12" i="1" s="1"/>
  <c r="M12" i="1" s="1"/>
  <c r="N13" i="1"/>
  <c r="N14" i="1"/>
  <c r="N15" i="1"/>
  <c r="N16" i="1"/>
  <c r="L16" i="1" s="1"/>
  <c r="M16" i="1" s="1"/>
  <c r="N17" i="1"/>
  <c r="N18" i="1"/>
  <c r="N19" i="1"/>
  <c r="N20" i="1"/>
  <c r="L20" i="1" s="1"/>
  <c r="M20" i="1" s="1"/>
  <c r="N21" i="1"/>
  <c r="N22" i="1"/>
  <c r="N23" i="1"/>
  <c r="N24" i="1"/>
  <c r="L24" i="1" s="1"/>
  <c r="M24" i="1" s="1"/>
  <c r="N25" i="1"/>
  <c r="N26" i="1"/>
  <c r="N27" i="1"/>
  <c r="N28" i="1"/>
  <c r="L28" i="1" s="1"/>
  <c r="M28" i="1" s="1"/>
  <c r="N29" i="1"/>
  <c r="N30" i="1"/>
  <c r="N31" i="1"/>
  <c r="N32" i="1"/>
  <c r="L32" i="1" s="1"/>
  <c r="M32" i="1" s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4" i="1"/>
  <c r="S4" i="1" s="1"/>
  <c r="X4" i="1" s="1"/>
  <c r="S52" i="1" l="1"/>
  <c r="S50" i="1"/>
  <c r="S46" i="1"/>
  <c r="S53" i="1"/>
  <c r="S51" i="1"/>
  <c r="S49" i="1"/>
  <c r="S47" i="1"/>
  <c r="S45" i="1"/>
  <c r="S43" i="1"/>
  <c r="S41" i="1"/>
  <c r="S39" i="1"/>
  <c r="S37" i="1"/>
  <c r="S35" i="1"/>
  <c r="S33" i="1"/>
  <c r="L33" i="1"/>
  <c r="M33" i="1" s="1"/>
  <c r="W31" i="1"/>
  <c r="S31" i="1"/>
  <c r="L31" i="1"/>
  <c r="M31" i="1" s="1"/>
  <c r="S29" i="1"/>
  <c r="T29" i="1" s="1"/>
  <c r="L29" i="1"/>
  <c r="M29" i="1" s="1"/>
  <c r="W27" i="1"/>
  <c r="S27" i="1"/>
  <c r="L27" i="1"/>
  <c r="M27" i="1" s="1"/>
  <c r="S25" i="1"/>
  <c r="T25" i="1" s="1"/>
  <c r="L25" i="1"/>
  <c r="M25" i="1" s="1"/>
  <c r="W23" i="1"/>
  <c r="S23" i="1"/>
  <c r="L23" i="1"/>
  <c r="M23" i="1" s="1"/>
  <c r="S21" i="1"/>
  <c r="T21" i="1" s="1"/>
  <c r="L21" i="1"/>
  <c r="M21" i="1" s="1"/>
  <c r="W19" i="1"/>
  <c r="S19" i="1"/>
  <c r="L19" i="1"/>
  <c r="M19" i="1" s="1"/>
  <c r="S17" i="1"/>
  <c r="T17" i="1" s="1"/>
  <c r="L17" i="1"/>
  <c r="M17" i="1" s="1"/>
  <c r="W15" i="1"/>
  <c r="S15" i="1"/>
  <c r="L15" i="1"/>
  <c r="M15" i="1" s="1"/>
  <c r="S13" i="1"/>
  <c r="T13" i="1" s="1"/>
  <c r="L13" i="1"/>
  <c r="M13" i="1" s="1"/>
  <c r="W11" i="1"/>
  <c r="S11" i="1"/>
  <c r="L11" i="1"/>
  <c r="M11" i="1" s="1"/>
  <c r="S9" i="1"/>
  <c r="T9" i="1" s="1"/>
  <c r="L9" i="1"/>
  <c r="M9" i="1" s="1"/>
  <c r="W7" i="1"/>
  <c r="S7" i="1"/>
  <c r="L7" i="1"/>
  <c r="M7" i="1" s="1"/>
  <c r="S5" i="1"/>
  <c r="T5" i="1" s="1"/>
  <c r="L5" i="1"/>
  <c r="M5" i="1" s="1"/>
  <c r="L53" i="1"/>
  <c r="M53" i="1" s="1"/>
  <c r="L51" i="1"/>
  <c r="M51" i="1" s="1"/>
  <c r="L49" i="1"/>
  <c r="M49" i="1" s="1"/>
  <c r="L47" i="1"/>
  <c r="M47" i="1" s="1"/>
  <c r="L45" i="1"/>
  <c r="M45" i="1" s="1"/>
  <c r="L43" i="1"/>
  <c r="M43" i="1" s="1"/>
  <c r="L41" i="1"/>
  <c r="M41" i="1" s="1"/>
  <c r="L39" i="1"/>
  <c r="M39" i="1" s="1"/>
  <c r="L37" i="1"/>
  <c r="M37" i="1" s="1"/>
  <c r="L35" i="1"/>
  <c r="M35" i="1" s="1"/>
  <c r="X53" i="1"/>
  <c r="X51" i="1"/>
  <c r="X49" i="1"/>
  <c r="Y52" i="1"/>
  <c r="Y50" i="1"/>
  <c r="Y48" i="1"/>
  <c r="Z53" i="1"/>
  <c r="Z51" i="1"/>
  <c r="Z49" i="1"/>
  <c r="Z47" i="1"/>
  <c r="L54" i="1"/>
  <c r="M54" i="1" s="1"/>
  <c r="W54" i="1"/>
  <c r="S54" i="1"/>
  <c r="T54" i="1" s="1"/>
  <c r="W48" i="1"/>
  <c r="S48" i="1"/>
  <c r="T48" i="1" s="1"/>
  <c r="W44" i="1"/>
  <c r="S44" i="1"/>
  <c r="T44" i="1" s="1"/>
  <c r="W42" i="1"/>
  <c r="S42" i="1"/>
  <c r="T42" i="1" s="1"/>
  <c r="W40" i="1"/>
  <c r="S40" i="1"/>
  <c r="T40" i="1" s="1"/>
  <c r="W38" i="1"/>
  <c r="S38" i="1"/>
  <c r="T38" i="1" s="1"/>
  <c r="W36" i="1"/>
  <c r="S36" i="1"/>
  <c r="T36" i="1" s="1"/>
  <c r="W34" i="1"/>
  <c r="S34" i="1"/>
  <c r="T34" i="1" s="1"/>
  <c r="W32" i="1"/>
  <c r="S32" i="1"/>
  <c r="T32" i="1" s="1"/>
  <c r="W30" i="1"/>
  <c r="S30" i="1"/>
  <c r="T30" i="1" s="1"/>
  <c r="W28" i="1"/>
  <c r="S28" i="1"/>
  <c r="T28" i="1" s="1"/>
  <c r="W26" i="1"/>
  <c r="S26" i="1"/>
  <c r="T26" i="1" s="1"/>
  <c r="W24" i="1"/>
  <c r="S24" i="1"/>
  <c r="T24" i="1" s="1"/>
  <c r="W22" i="1"/>
  <c r="S22" i="1"/>
  <c r="T22" i="1" s="1"/>
  <c r="W20" i="1"/>
  <c r="S20" i="1"/>
  <c r="T20" i="1" s="1"/>
  <c r="W18" i="1"/>
  <c r="S18" i="1"/>
  <c r="T18" i="1" s="1"/>
  <c r="W16" i="1"/>
  <c r="S16" i="1"/>
  <c r="T16" i="1" s="1"/>
  <c r="W14" i="1"/>
  <c r="S14" i="1"/>
  <c r="T14" i="1" s="1"/>
  <c r="W12" i="1"/>
  <c r="S12" i="1"/>
  <c r="T12" i="1" s="1"/>
  <c r="W10" i="1"/>
  <c r="S10" i="1"/>
  <c r="T10" i="1" s="1"/>
  <c r="W8" i="1"/>
  <c r="S8" i="1"/>
  <c r="T8" i="1" s="1"/>
  <c r="W6" i="1"/>
  <c r="S6" i="1"/>
  <c r="T6" i="1" s="1"/>
  <c r="L4" i="1"/>
  <c r="M4" i="1" s="1"/>
  <c r="L52" i="1"/>
  <c r="M52" i="1" s="1"/>
  <c r="L50" i="1"/>
  <c r="M50" i="1" s="1"/>
  <c r="L48" i="1"/>
  <c r="M48" i="1" s="1"/>
  <c r="L46" i="1"/>
  <c r="M46" i="1" s="1"/>
  <c r="L44" i="1"/>
  <c r="M44" i="1" s="1"/>
  <c r="L42" i="1"/>
  <c r="M42" i="1" s="1"/>
  <c r="L40" i="1"/>
  <c r="M40" i="1" s="1"/>
  <c r="L38" i="1"/>
  <c r="M38" i="1" s="1"/>
  <c r="L36" i="1"/>
  <c r="M36" i="1" s="1"/>
  <c r="L34" i="1"/>
  <c r="M34" i="1" s="1"/>
  <c r="L30" i="1"/>
  <c r="M30" i="1" s="1"/>
  <c r="L26" i="1"/>
  <c r="M26" i="1" s="1"/>
  <c r="L22" i="1"/>
  <c r="M22" i="1" s="1"/>
  <c r="L18" i="1"/>
  <c r="M18" i="1" s="1"/>
  <c r="L14" i="1"/>
  <c r="M14" i="1" s="1"/>
  <c r="L10" i="1"/>
  <c r="M10" i="1" s="1"/>
  <c r="L6" i="1"/>
  <c r="M6" i="1" s="1"/>
  <c r="X54" i="1"/>
  <c r="X52" i="1"/>
  <c r="X50" i="1"/>
  <c r="X48" i="1"/>
  <c r="Y53" i="1"/>
  <c r="Y51" i="1"/>
  <c r="Y49" i="1"/>
  <c r="Y47" i="1"/>
  <c r="Z52" i="1"/>
  <c r="Z50" i="1"/>
  <c r="Z48" i="1"/>
  <c r="Z54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X6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Y5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Z6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X5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Y6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Z5" i="1"/>
  <c r="W4" i="1"/>
  <c r="Y4" i="1"/>
  <c r="T4" i="1"/>
  <c r="Z4" i="1"/>
  <c r="T33" i="1" l="1"/>
  <c r="T35" i="1"/>
  <c r="T37" i="1"/>
  <c r="T39" i="1"/>
  <c r="T41" i="1"/>
  <c r="T43" i="1"/>
  <c r="T45" i="1"/>
  <c r="T47" i="1"/>
  <c r="T49" i="1"/>
  <c r="T51" i="1"/>
  <c r="T53" i="1"/>
  <c r="T46" i="1"/>
  <c r="T50" i="1"/>
  <c r="T52" i="1"/>
  <c r="Y54" i="1"/>
  <c r="W5" i="1"/>
  <c r="T7" i="1"/>
  <c r="W9" i="1"/>
  <c r="T11" i="1"/>
  <c r="W13" i="1"/>
  <c r="T15" i="1"/>
  <c r="W17" i="1"/>
  <c r="T19" i="1"/>
  <c r="W21" i="1"/>
  <c r="T23" i="1"/>
  <c r="W25" i="1"/>
  <c r="T27" i="1"/>
  <c r="W29" i="1"/>
  <c r="T31" i="1"/>
  <c r="W33" i="1"/>
  <c r="W35" i="1"/>
  <c r="W37" i="1"/>
  <c r="W39" i="1"/>
  <c r="W41" i="1"/>
  <c r="W43" i="1"/>
  <c r="W45" i="1"/>
  <c r="W47" i="1"/>
  <c r="W49" i="1"/>
  <c r="W51" i="1"/>
  <c r="W53" i="1"/>
  <c r="W46" i="1"/>
  <c r="W50" i="1"/>
  <c r="W52" i="1"/>
</calcChain>
</file>

<file path=xl/sharedStrings.xml><?xml version="1.0" encoding="utf-8"?>
<sst xmlns="http://schemas.openxmlformats.org/spreadsheetml/2006/main" count="48" uniqueCount="28">
  <si>
    <t>P/IS</t>
  </si>
  <si>
    <t>wt</t>
  </si>
  <si>
    <t>Limonene oxide</t>
  </si>
  <si>
    <t>Peak 11.8</t>
  </si>
  <si>
    <t>event. P-Mentha-1(7),8(10)-dien-9-ol</t>
  </si>
  <si>
    <t>Isopiperitenol?</t>
  </si>
  <si>
    <t>Carveol</t>
  </si>
  <si>
    <t>Carvon</t>
  </si>
  <si>
    <t>1 (10.5)</t>
  </si>
  <si>
    <t>2 (10.6)</t>
  </si>
  <si>
    <t>Limepoxide</t>
  </si>
  <si>
    <t>dr epoxide</t>
  </si>
  <si>
    <t>d.r._2</t>
  </si>
  <si>
    <t>Isopiperitenol</t>
  </si>
  <si>
    <t>Others</t>
  </si>
  <si>
    <t>compared to wt</t>
  </si>
  <si>
    <t>Regioselectivity</t>
  </si>
  <si>
    <t>Regio Epoxide</t>
  </si>
  <si>
    <t>mind. 50% wt activity</t>
  </si>
  <si>
    <t>mind. 20% epoxide</t>
  </si>
  <si>
    <t>Retention time</t>
  </si>
  <si>
    <t>Integrated Area divided by internal standard minus background reaction</t>
  </si>
  <si>
    <t>diastereomeric ratio of limonene oxide</t>
  </si>
  <si>
    <t>dr 1</t>
  </si>
  <si>
    <t>dr 2</t>
  </si>
  <si>
    <t>Product</t>
  </si>
  <si>
    <t>Total sum of product</t>
  </si>
  <si>
    <t>Total sum of product divided by wild type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</si>
</sst>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9" fontId="0" fillId="0" borderId="0" xfId="0" applyNumberFormat="1"/>
    <xf numFmtId="164" fontId="0" fillId="0" borderId="0" xfId="0" applyNumberFormat="1"/>
    <xf numFmtId="0" fontId="0" fillId="2" borderId="0" xfId="0" applyFill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C054-73A0-4FD1-A13A-F025311B89F9}">
  <dimension ref="A1:Z57"/>
  <sheetViews>
    <sheetView tabSelected="1" topLeftCell="A10" workbookViewId="0">
      <selection activeCell="AC4" sqref="AC4"/>
    </sheetView>
  </sheetViews>
  <sheetFormatPr defaultRowHeight="15" x14ac:dyDescent="0.25"/>
  <cols>
    <col min="1" max="1" width="11.7109375" bestFit="1" customWidth="1"/>
    <col min="12" max="12" width="11" bestFit="1" customWidth="1"/>
    <col min="14" max="14" width="12" bestFit="1" customWidth="1"/>
    <col min="19" max="19" width="16.42578125" customWidth="1"/>
    <col min="20" max="20" width="18.5703125" customWidth="1"/>
    <col min="23" max="23" width="11.42578125" bestFit="1" customWidth="1"/>
    <col min="24" max="24" width="13.7109375" bestFit="1" customWidth="1"/>
  </cols>
  <sheetData>
    <row r="1" spans="1:26" ht="45" x14ac:dyDescent="0.25">
      <c r="B1" s="5" t="s">
        <v>21</v>
      </c>
      <c r="C1" s="5"/>
      <c r="D1" s="5"/>
      <c r="E1" s="5"/>
      <c r="F1" s="5"/>
      <c r="G1" s="5"/>
      <c r="H1" s="5"/>
      <c r="I1" s="5"/>
      <c r="J1" s="5"/>
      <c r="K1" s="5"/>
      <c r="L1" s="5" t="s">
        <v>22</v>
      </c>
      <c r="M1" s="5"/>
      <c r="S1" s="6" t="s">
        <v>26</v>
      </c>
      <c r="T1" s="6" t="s">
        <v>27</v>
      </c>
      <c r="W1" s="5" t="s">
        <v>16</v>
      </c>
      <c r="X1" s="5"/>
      <c r="Y1" s="5"/>
      <c r="Z1" s="5"/>
    </row>
    <row r="2" spans="1:26" x14ac:dyDescent="0.25">
      <c r="A2" t="s">
        <v>25</v>
      </c>
      <c r="C2" t="s">
        <v>2</v>
      </c>
      <c r="E2" t="s">
        <v>3</v>
      </c>
      <c r="F2" t="s">
        <v>4</v>
      </c>
      <c r="G2" t="s">
        <v>5</v>
      </c>
      <c r="H2" t="s">
        <v>6</v>
      </c>
      <c r="I2" t="s">
        <v>6</v>
      </c>
      <c r="J2" t="s">
        <v>7</v>
      </c>
      <c r="L2" t="s">
        <v>23</v>
      </c>
      <c r="M2" t="s">
        <v>24</v>
      </c>
      <c r="N2" t="s">
        <v>10</v>
      </c>
      <c r="O2" t="s">
        <v>13</v>
      </c>
      <c r="P2" t="s">
        <v>6</v>
      </c>
      <c r="Q2" t="s">
        <v>14</v>
      </c>
      <c r="W2" t="s">
        <v>10</v>
      </c>
      <c r="X2" t="s">
        <v>13</v>
      </c>
      <c r="Y2" t="s">
        <v>6</v>
      </c>
      <c r="Z2" t="s">
        <v>14</v>
      </c>
    </row>
    <row r="3" spans="1:26" x14ac:dyDescent="0.25">
      <c r="A3" t="s">
        <v>20</v>
      </c>
      <c r="C3" t="s">
        <v>8</v>
      </c>
      <c r="D3" t="s">
        <v>9</v>
      </c>
      <c r="E3">
        <v>11.8</v>
      </c>
      <c r="F3">
        <v>12.45</v>
      </c>
      <c r="G3">
        <v>12.6</v>
      </c>
      <c r="H3">
        <v>13.15</v>
      </c>
      <c r="I3">
        <v>13.5</v>
      </c>
      <c r="J3">
        <v>13.9</v>
      </c>
    </row>
    <row r="4" spans="1:26" x14ac:dyDescent="0.25">
      <c r="A4">
        <v>1</v>
      </c>
      <c r="C4">
        <v>2.0782038347039039E-2</v>
      </c>
      <c r="D4">
        <v>2.4756890175097395E-2</v>
      </c>
      <c r="E4">
        <v>1.381525923564011E-2</v>
      </c>
      <c r="F4">
        <v>2.861969336466581E-2</v>
      </c>
      <c r="G4">
        <v>0.10131328023989034</v>
      </c>
      <c r="H4">
        <v>1.3306905910644092E-2</v>
      </c>
      <c r="I4">
        <v>0</v>
      </c>
      <c r="J4">
        <v>0</v>
      </c>
      <c r="L4" s="1">
        <f>C4/N4</f>
        <v>0.45635764875181256</v>
      </c>
      <c r="M4" s="2">
        <f>1-L4</f>
        <v>0.54364235124818738</v>
      </c>
      <c r="N4">
        <f>SUM(C4:D4)</f>
        <v>4.5538928522136438E-2</v>
      </c>
      <c r="O4">
        <f>G4</f>
        <v>0.10131328023989034</v>
      </c>
      <c r="P4">
        <f>SUM(H4:I4)</f>
        <v>1.3306905910644092E-2</v>
      </c>
      <c r="Q4">
        <f>SUM(E4,F4,J4)</f>
        <v>4.2434952600305921E-2</v>
      </c>
      <c r="S4">
        <f>SUM(N4:Q4)</f>
        <v>0.20259406727297677</v>
      </c>
      <c r="T4" s="3">
        <f>S4/$S$54</f>
        <v>0.56467610631719456</v>
      </c>
      <c r="W4" s="1">
        <f>N4/$S4</f>
        <v>0.22477918102496527</v>
      </c>
      <c r="X4" s="1">
        <f t="shared" ref="X4:Z4" si="0">O4/$S4</f>
        <v>0.50008019288827477</v>
      </c>
      <c r="Y4" s="1">
        <f t="shared" si="0"/>
        <v>6.5682604084917592E-2</v>
      </c>
      <c r="Z4" s="1">
        <f t="shared" si="0"/>
        <v>0.20945802200184246</v>
      </c>
    </row>
    <row r="5" spans="1:26" x14ac:dyDescent="0.25">
      <c r="A5">
        <v>2</v>
      </c>
      <c r="C5">
        <v>7.5214052415237279E-2</v>
      </c>
      <c r="D5">
        <v>0.36760439390345945</v>
      </c>
      <c r="E5">
        <v>0</v>
      </c>
      <c r="F5">
        <v>7.2197330756374065E-2</v>
      </c>
      <c r="G5">
        <v>5.469017269027017E-2</v>
      </c>
      <c r="H5">
        <v>5.6090631664973342E-2</v>
      </c>
      <c r="I5">
        <v>0</v>
      </c>
      <c r="J5">
        <v>0</v>
      </c>
      <c r="L5" s="1">
        <f t="shared" ref="L5:L54" si="1">C5/N5</f>
        <v>0.16985302450816531</v>
      </c>
      <c r="M5" s="2">
        <f t="shared" ref="M5:M54" si="2">1-L5</f>
        <v>0.83014697549183469</v>
      </c>
      <c r="N5">
        <f t="shared" ref="N5:N54" si="3">SUM(C5:D5)</f>
        <v>0.44281844631869671</v>
      </c>
      <c r="O5">
        <f t="shared" ref="O5:O54" si="4">G5</f>
        <v>5.469017269027017E-2</v>
      </c>
      <c r="P5">
        <f t="shared" ref="P5:P54" si="5">SUM(H5:I5)</f>
        <v>5.6090631664973342E-2</v>
      </c>
      <c r="Q5">
        <f t="shared" ref="Q5:Q53" si="6">SUM(E5,F5,J5)</f>
        <v>7.2197330756374065E-2</v>
      </c>
      <c r="S5">
        <f t="shared" ref="S5:S54" si="7">SUM(N5:Q5)</f>
        <v>0.62579658143031425</v>
      </c>
      <c r="T5" s="3">
        <f t="shared" ref="T5:T54" si="8">S5/$S$54</f>
        <v>1.7442385243815872</v>
      </c>
      <c r="W5" s="1">
        <f t="shared" ref="W5:W54" si="9">N5/$S5</f>
        <v>0.70760764673177889</v>
      </c>
      <c r="X5" s="1">
        <f t="shared" ref="X5:X54" si="10">O5/$S5</f>
        <v>8.7392891417321053E-2</v>
      </c>
      <c r="Y5" s="1">
        <f t="shared" ref="Y5:Y54" si="11">P5/$S5</f>
        <v>8.963077352831357E-2</v>
      </c>
      <c r="Z5" s="1">
        <f t="shared" ref="Z5:Z54" si="12">Q5/$S5</f>
        <v>0.11536868832258652</v>
      </c>
    </row>
    <row r="6" spans="1:26" x14ac:dyDescent="0.25">
      <c r="A6">
        <v>3</v>
      </c>
      <c r="C6">
        <v>7.6483987941289813E-2</v>
      </c>
      <c r="D6">
        <v>1.7520788733680872E-2</v>
      </c>
      <c r="E6">
        <v>1.2673353073643224E-2</v>
      </c>
      <c r="F6">
        <v>4.2295606798647425E-2</v>
      </c>
      <c r="G6">
        <v>0</v>
      </c>
      <c r="H6">
        <v>3.161533242383345E-2</v>
      </c>
      <c r="I6">
        <v>0</v>
      </c>
      <c r="J6">
        <v>0</v>
      </c>
      <c r="L6" s="1">
        <f t="shared" si="1"/>
        <v>0.81361810161774595</v>
      </c>
      <c r="M6" s="2">
        <f t="shared" si="2"/>
        <v>0.18638189838225405</v>
      </c>
      <c r="N6">
        <f t="shared" si="3"/>
        <v>9.4004776674970689E-2</v>
      </c>
      <c r="O6">
        <f t="shared" si="4"/>
        <v>0</v>
      </c>
      <c r="P6">
        <f t="shared" si="5"/>
        <v>3.161533242383345E-2</v>
      </c>
      <c r="Q6">
        <f t="shared" si="6"/>
        <v>5.4968959872290647E-2</v>
      </c>
      <c r="S6">
        <f t="shared" si="7"/>
        <v>0.18058906897109478</v>
      </c>
      <c r="T6" s="3">
        <f t="shared" si="8"/>
        <v>0.50334313182352031</v>
      </c>
      <c r="W6" s="1">
        <f t="shared" si="9"/>
        <v>0.52054522020940908</v>
      </c>
      <c r="X6" s="1">
        <f t="shared" si="10"/>
        <v>0</v>
      </c>
      <c r="Y6" s="1">
        <f t="shared" si="11"/>
        <v>0.17506780783555523</v>
      </c>
      <c r="Z6" s="1">
        <f t="shared" si="12"/>
        <v>0.30438697195503578</v>
      </c>
    </row>
    <row r="7" spans="1:26" x14ac:dyDescent="0.25">
      <c r="A7">
        <v>4</v>
      </c>
      <c r="C7">
        <v>3.5067241756435275E-2</v>
      </c>
      <c r="D7">
        <v>1.793555270450584E-2</v>
      </c>
      <c r="E7">
        <v>2.9589444031510054E-3</v>
      </c>
      <c r="F7">
        <v>2.6512882886391108E-2</v>
      </c>
      <c r="G7">
        <v>4.6223497429886795E-2</v>
      </c>
      <c r="H7">
        <v>1.257395603056876E-2</v>
      </c>
      <c r="I7">
        <v>0</v>
      </c>
      <c r="J7">
        <v>0</v>
      </c>
      <c r="L7" s="1">
        <f t="shared" si="1"/>
        <v>0.66161118697764276</v>
      </c>
      <c r="M7" s="2">
        <f t="shared" si="2"/>
        <v>0.33838881302235724</v>
      </c>
      <c r="N7">
        <f t="shared" si="3"/>
        <v>5.3002794460941111E-2</v>
      </c>
      <c r="O7">
        <f t="shared" si="4"/>
        <v>4.6223497429886795E-2</v>
      </c>
      <c r="P7">
        <f t="shared" si="5"/>
        <v>1.257395603056876E-2</v>
      </c>
      <c r="Q7">
        <f t="shared" si="6"/>
        <v>2.9471827289542112E-2</v>
      </c>
      <c r="S7">
        <f t="shared" si="7"/>
        <v>0.14127207521093879</v>
      </c>
      <c r="T7" s="3">
        <f t="shared" si="8"/>
        <v>0.39375765754273584</v>
      </c>
      <c r="W7" s="1">
        <f t="shared" si="9"/>
        <v>0.37518238747325394</v>
      </c>
      <c r="X7" s="1">
        <f t="shared" si="10"/>
        <v>0.32719486395926944</v>
      </c>
      <c r="Y7" s="1">
        <f t="shared" si="11"/>
        <v>8.9005247581973299E-2</v>
      </c>
      <c r="Z7" s="1">
        <f t="shared" si="12"/>
        <v>0.20861750098550325</v>
      </c>
    </row>
    <row r="8" spans="1:26" x14ac:dyDescent="0.25">
      <c r="A8">
        <v>5</v>
      </c>
      <c r="C8">
        <v>2.4602316493798071E-2</v>
      </c>
      <c r="D8">
        <v>0.15784584853587169</v>
      </c>
      <c r="E8">
        <v>2.9400991549562933E-3</v>
      </c>
      <c r="F8">
        <v>9.2868727884341626E-2</v>
      </c>
      <c r="G8">
        <v>3.6001689633952762E-2</v>
      </c>
      <c r="H8">
        <v>1.4716582054915699E-2</v>
      </c>
      <c r="I8">
        <v>0</v>
      </c>
      <c r="J8">
        <v>0</v>
      </c>
      <c r="L8" s="1">
        <f t="shared" si="1"/>
        <v>0.13484551346294568</v>
      </c>
      <c r="M8" s="2">
        <f t="shared" si="2"/>
        <v>0.86515448653705429</v>
      </c>
      <c r="N8">
        <f t="shared" si="3"/>
        <v>0.18244816502966976</v>
      </c>
      <c r="O8">
        <f t="shared" si="4"/>
        <v>3.6001689633952762E-2</v>
      </c>
      <c r="P8">
        <f t="shared" si="5"/>
        <v>1.4716582054915699E-2</v>
      </c>
      <c r="Q8">
        <f t="shared" si="6"/>
        <v>9.5808827039297925E-2</v>
      </c>
      <c r="S8">
        <f t="shared" si="7"/>
        <v>0.32897526375783614</v>
      </c>
      <c r="T8" s="3">
        <f t="shared" si="8"/>
        <v>0.9169294714002979</v>
      </c>
      <c r="W8" s="1">
        <f t="shared" si="9"/>
        <v>0.5545953909895569</v>
      </c>
      <c r="X8" s="1">
        <f t="shared" si="10"/>
        <v>0.10943585612702532</v>
      </c>
      <c r="Y8" s="1">
        <f t="shared" si="11"/>
        <v>4.4734615869929988E-2</v>
      </c>
      <c r="Z8" s="1">
        <f t="shared" si="12"/>
        <v>0.29123413701348777</v>
      </c>
    </row>
    <row r="9" spans="1:26" x14ac:dyDescent="0.25">
      <c r="A9">
        <v>6</v>
      </c>
      <c r="C9">
        <v>1.914955230846288E-2</v>
      </c>
      <c r="D9">
        <v>0.17344075875061771</v>
      </c>
      <c r="E9">
        <v>0</v>
      </c>
      <c r="F9">
        <v>9.4074268891421134E-2</v>
      </c>
      <c r="G9">
        <v>3.1891652732046291E-2</v>
      </c>
      <c r="H9">
        <v>2.9596996422237714E-2</v>
      </c>
      <c r="I9">
        <v>0</v>
      </c>
      <c r="J9">
        <v>0</v>
      </c>
      <c r="L9" s="1">
        <f t="shared" si="1"/>
        <v>9.9431545663729706E-2</v>
      </c>
      <c r="M9" s="2">
        <f t="shared" si="2"/>
        <v>0.90056845433627031</v>
      </c>
      <c r="N9">
        <f t="shared" si="3"/>
        <v>0.19259031105908059</v>
      </c>
      <c r="O9">
        <f t="shared" si="4"/>
        <v>3.1891652732046291E-2</v>
      </c>
      <c r="P9">
        <f t="shared" si="5"/>
        <v>2.9596996422237714E-2</v>
      </c>
      <c r="Q9">
        <f t="shared" si="6"/>
        <v>9.4074268891421134E-2</v>
      </c>
      <c r="S9">
        <f t="shared" si="7"/>
        <v>0.34815322910478574</v>
      </c>
      <c r="T9" s="3">
        <f t="shared" si="8"/>
        <v>0.9703828570051688</v>
      </c>
      <c r="W9" s="1">
        <f t="shared" si="9"/>
        <v>0.55317686282644107</v>
      </c>
      <c r="X9" s="1">
        <f t="shared" si="10"/>
        <v>9.1602346512913338E-2</v>
      </c>
      <c r="Y9" s="1">
        <f t="shared" si="11"/>
        <v>8.5011408621258916E-2</v>
      </c>
      <c r="Z9" s="1">
        <f t="shared" si="12"/>
        <v>0.2702093820393866</v>
      </c>
    </row>
    <row r="10" spans="1:26" x14ac:dyDescent="0.25">
      <c r="A10">
        <v>7</v>
      </c>
      <c r="C10">
        <v>2.1547033673734742E-2</v>
      </c>
      <c r="D10">
        <v>8.7931008785990389E-3</v>
      </c>
      <c r="E10">
        <v>0</v>
      </c>
      <c r="F10">
        <v>1.9566800755402722E-2</v>
      </c>
      <c r="G10">
        <v>2.6338035475308327E-2</v>
      </c>
      <c r="H10">
        <v>3.828435438562889E-3</v>
      </c>
      <c r="I10">
        <v>0</v>
      </c>
      <c r="J10">
        <v>0</v>
      </c>
      <c r="L10" s="1">
        <f t="shared" si="1"/>
        <v>0.71018253516866259</v>
      </c>
      <c r="M10" s="2">
        <f t="shared" si="2"/>
        <v>0.28981746483133741</v>
      </c>
      <c r="N10">
        <f t="shared" si="3"/>
        <v>3.0340134552333781E-2</v>
      </c>
      <c r="O10">
        <f t="shared" si="4"/>
        <v>2.6338035475308327E-2</v>
      </c>
      <c r="P10">
        <f t="shared" si="5"/>
        <v>3.828435438562889E-3</v>
      </c>
      <c r="Q10">
        <f t="shared" si="6"/>
        <v>1.9566800755402722E-2</v>
      </c>
      <c r="S10">
        <f t="shared" si="7"/>
        <v>8.0073406221607718E-2</v>
      </c>
      <c r="T10" s="3">
        <f t="shared" si="8"/>
        <v>0.22318293844137452</v>
      </c>
      <c r="W10" s="1">
        <f t="shared" si="9"/>
        <v>0.37890400800942237</v>
      </c>
      <c r="X10" s="1">
        <f t="shared" si="10"/>
        <v>0.32892363043001205</v>
      </c>
      <c r="Y10" s="1">
        <f t="shared" si="11"/>
        <v>4.7811572146281317E-2</v>
      </c>
      <c r="Z10" s="1">
        <f t="shared" si="12"/>
        <v>0.24436078941428424</v>
      </c>
    </row>
    <row r="11" spans="1:26" x14ac:dyDescent="0.25">
      <c r="A11">
        <v>8</v>
      </c>
      <c r="C11">
        <v>3.9190155413955305E-3</v>
      </c>
      <c r="D11">
        <v>3.3520148901011598E-3</v>
      </c>
      <c r="E11">
        <v>0</v>
      </c>
      <c r="F11">
        <v>1.6666074776335683E-2</v>
      </c>
      <c r="G11">
        <v>2.237880617792563E-2</v>
      </c>
      <c r="H11">
        <v>4.1798034111868772E-3</v>
      </c>
      <c r="I11">
        <v>0</v>
      </c>
      <c r="J11">
        <v>0</v>
      </c>
      <c r="L11" s="1">
        <f t="shared" si="1"/>
        <v>0.53899039184585407</v>
      </c>
      <c r="M11" s="2">
        <f t="shared" si="2"/>
        <v>0.46100960815414593</v>
      </c>
      <c r="N11">
        <f t="shared" si="3"/>
        <v>7.2710304314966903E-3</v>
      </c>
      <c r="O11">
        <f t="shared" si="4"/>
        <v>2.237880617792563E-2</v>
      </c>
      <c r="P11">
        <f t="shared" si="5"/>
        <v>4.1798034111868772E-3</v>
      </c>
      <c r="Q11">
        <f t="shared" si="6"/>
        <v>1.6666074776335683E-2</v>
      </c>
      <c r="S11">
        <f t="shared" si="7"/>
        <v>5.0495714796944882E-2</v>
      </c>
      <c r="T11" s="3">
        <f t="shared" si="8"/>
        <v>0.14074313231898727</v>
      </c>
      <c r="W11" s="1">
        <f t="shared" si="9"/>
        <v>0.14399301922420962</v>
      </c>
      <c r="X11" s="1">
        <f t="shared" si="10"/>
        <v>0.44318228324752035</v>
      </c>
      <c r="Y11" s="1">
        <f t="shared" si="11"/>
        <v>8.2775408329099756E-2</v>
      </c>
      <c r="Z11" s="1">
        <f t="shared" si="12"/>
        <v>0.33004928919917026</v>
      </c>
    </row>
    <row r="12" spans="1:26" x14ac:dyDescent="0.25">
      <c r="A12">
        <v>9</v>
      </c>
      <c r="C12">
        <v>2.8129050712402334E-3</v>
      </c>
      <c r="D12">
        <v>5.150637235045729E-3</v>
      </c>
      <c r="E12">
        <v>0</v>
      </c>
      <c r="F12">
        <v>1.9738194742230002E-3</v>
      </c>
      <c r="G12">
        <v>1.7921599158554735E-2</v>
      </c>
      <c r="H12">
        <v>0</v>
      </c>
      <c r="I12">
        <v>0</v>
      </c>
      <c r="J12">
        <v>0</v>
      </c>
      <c r="L12" s="1">
        <f t="shared" si="1"/>
        <v>0.35322284519288455</v>
      </c>
      <c r="M12" s="2">
        <f t="shared" si="2"/>
        <v>0.64677715480711551</v>
      </c>
      <c r="N12">
        <f t="shared" si="3"/>
        <v>7.9635423062859624E-3</v>
      </c>
      <c r="O12">
        <f t="shared" si="4"/>
        <v>1.7921599158554735E-2</v>
      </c>
      <c r="P12">
        <f t="shared" si="5"/>
        <v>0</v>
      </c>
      <c r="Q12">
        <f t="shared" si="6"/>
        <v>1.9738194742230002E-3</v>
      </c>
      <c r="S12">
        <f t="shared" si="7"/>
        <v>2.7858960939063697E-2</v>
      </c>
      <c r="T12" s="3">
        <f t="shared" si="8"/>
        <v>7.7649310272826719E-2</v>
      </c>
      <c r="W12" s="1">
        <f t="shared" si="9"/>
        <v>0.28585209346840795</v>
      </c>
      <c r="X12" s="1">
        <f t="shared" si="10"/>
        <v>0.64329747249924019</v>
      </c>
      <c r="Y12" s="1">
        <f t="shared" si="11"/>
        <v>0</v>
      </c>
      <c r="Z12" s="1">
        <f t="shared" si="12"/>
        <v>7.0850434032351875E-2</v>
      </c>
    </row>
    <row r="13" spans="1:26" x14ac:dyDescent="0.25">
      <c r="A13">
        <v>10</v>
      </c>
      <c r="C13">
        <v>1.5620201107723608E-2</v>
      </c>
      <c r="D13">
        <v>3.0386544491919805E-3</v>
      </c>
      <c r="E13">
        <v>0</v>
      </c>
      <c r="F13">
        <v>1.0260324436052562E-2</v>
      </c>
      <c r="G13">
        <v>3.0366191029435077E-2</v>
      </c>
      <c r="H13">
        <v>5.9931813759398489E-3</v>
      </c>
      <c r="I13">
        <v>0</v>
      </c>
      <c r="J13">
        <v>0</v>
      </c>
      <c r="L13" s="1">
        <f t="shared" si="1"/>
        <v>0.83714679392189439</v>
      </c>
      <c r="M13" s="2">
        <f t="shared" si="2"/>
        <v>0.16285320607810561</v>
      </c>
      <c r="N13">
        <f t="shared" si="3"/>
        <v>1.8658855556915589E-2</v>
      </c>
      <c r="O13">
        <f t="shared" si="4"/>
        <v>3.0366191029435077E-2</v>
      </c>
      <c r="P13">
        <f t="shared" si="5"/>
        <v>5.9931813759398489E-3</v>
      </c>
      <c r="Q13">
        <f t="shared" si="6"/>
        <v>1.0260324436052562E-2</v>
      </c>
      <c r="S13">
        <f t="shared" si="7"/>
        <v>6.527855239834307E-2</v>
      </c>
      <c r="T13" s="3">
        <f t="shared" si="8"/>
        <v>0.18194628939776511</v>
      </c>
      <c r="W13" s="1">
        <f t="shared" si="9"/>
        <v>0.28583439539307548</v>
      </c>
      <c r="X13" s="1">
        <f t="shared" si="10"/>
        <v>0.46517868294833459</v>
      </c>
      <c r="Y13" s="1">
        <f t="shared" si="11"/>
        <v>9.1809348641315319E-2</v>
      </c>
      <c r="Z13" s="1">
        <f t="shared" si="12"/>
        <v>0.15717757301727472</v>
      </c>
    </row>
    <row r="14" spans="1:26" x14ac:dyDescent="0.25">
      <c r="A14">
        <v>11</v>
      </c>
      <c r="C14">
        <v>7.8863397025260087E-2</v>
      </c>
      <c r="D14">
        <v>6.4271448754784147E-3</v>
      </c>
      <c r="E14">
        <v>7.5133841019045574E-3</v>
      </c>
      <c r="F14">
        <v>6.598330599703385E-2</v>
      </c>
      <c r="G14">
        <v>0.21477230278162596</v>
      </c>
      <c r="H14">
        <v>2.813659979835503E-2</v>
      </c>
      <c r="I14">
        <v>0</v>
      </c>
      <c r="J14">
        <v>0</v>
      </c>
      <c r="L14" s="1">
        <f t="shared" si="1"/>
        <v>0.9246441078665163</v>
      </c>
      <c r="M14" s="2">
        <f t="shared" si="2"/>
        <v>7.5355892133483704E-2</v>
      </c>
      <c r="N14">
        <f t="shared" si="3"/>
        <v>8.5290541900738509E-2</v>
      </c>
      <c r="O14">
        <f t="shared" si="4"/>
        <v>0.21477230278162596</v>
      </c>
      <c r="P14">
        <f t="shared" si="5"/>
        <v>2.813659979835503E-2</v>
      </c>
      <c r="Q14">
        <f t="shared" si="6"/>
        <v>7.3496690098938403E-2</v>
      </c>
      <c r="S14">
        <f t="shared" si="7"/>
        <v>0.40169613457965786</v>
      </c>
      <c r="T14" s="3">
        <f t="shared" si="8"/>
        <v>1.1196192082539067</v>
      </c>
      <c r="W14" s="1">
        <f t="shared" si="9"/>
        <v>0.21232602098595765</v>
      </c>
      <c r="X14" s="1">
        <f t="shared" si="10"/>
        <v>0.53466360338858521</v>
      </c>
      <c r="Y14" s="1">
        <f t="shared" si="11"/>
        <v>7.0044487303313682E-2</v>
      </c>
      <c r="Z14" s="1">
        <f t="shared" si="12"/>
        <v>0.1829658883221435</v>
      </c>
    </row>
    <row r="15" spans="1:26" x14ac:dyDescent="0.25">
      <c r="A15">
        <v>12</v>
      </c>
      <c r="C15">
        <v>1.3264113587366164E-2</v>
      </c>
      <c r="D15">
        <v>5.7047775116670502E-3</v>
      </c>
      <c r="E15">
        <v>0</v>
      </c>
      <c r="F15">
        <v>9.8414602999544382E-4</v>
      </c>
      <c r="G15">
        <v>2.5374218845604594E-3</v>
      </c>
      <c r="H15">
        <v>0</v>
      </c>
      <c r="I15">
        <v>0</v>
      </c>
      <c r="J15">
        <v>0</v>
      </c>
      <c r="L15" s="1">
        <f t="shared" si="1"/>
        <v>0.69925614091601773</v>
      </c>
      <c r="M15" s="2">
        <f t="shared" si="2"/>
        <v>0.30074385908398227</v>
      </c>
      <c r="N15">
        <f t="shared" si="3"/>
        <v>1.8968891099033214E-2</v>
      </c>
      <c r="O15">
        <f t="shared" si="4"/>
        <v>2.5374218845604594E-3</v>
      </c>
      <c r="P15">
        <f t="shared" si="5"/>
        <v>0</v>
      </c>
      <c r="Q15">
        <f t="shared" si="6"/>
        <v>9.8414602999544382E-4</v>
      </c>
      <c r="S15">
        <f t="shared" si="7"/>
        <v>2.2490459013589117E-2</v>
      </c>
      <c r="T15" s="3">
        <f t="shared" si="8"/>
        <v>6.2686064779814671E-2</v>
      </c>
      <c r="W15" s="1">
        <f t="shared" si="9"/>
        <v>0.84341947345636159</v>
      </c>
      <c r="X15" s="1">
        <f t="shared" si="10"/>
        <v>0.11282214751718966</v>
      </c>
      <c r="Y15" s="1">
        <f t="shared" si="11"/>
        <v>0</v>
      </c>
      <c r="Z15" s="1">
        <f t="shared" si="12"/>
        <v>4.3758379026448774E-2</v>
      </c>
    </row>
    <row r="16" spans="1:26" x14ac:dyDescent="0.25">
      <c r="A16">
        <v>13</v>
      </c>
      <c r="C16">
        <v>5.8562357109056412E-3</v>
      </c>
      <c r="D16">
        <v>1.0219337296021699E-2</v>
      </c>
      <c r="E16">
        <v>0</v>
      </c>
      <c r="F16">
        <v>8.8250147665068675E-3</v>
      </c>
      <c r="G16">
        <v>8.377045804979397E-3</v>
      </c>
      <c r="H16">
        <v>1.1813211905841919E-2</v>
      </c>
      <c r="I16">
        <v>0</v>
      </c>
      <c r="J16">
        <v>1.1577519485859375E-3</v>
      </c>
      <c r="L16" s="1">
        <f t="shared" si="1"/>
        <v>0.36429405710030072</v>
      </c>
      <c r="M16" s="2">
        <f t="shared" si="2"/>
        <v>0.63570594289969928</v>
      </c>
      <c r="N16">
        <f t="shared" si="3"/>
        <v>1.607557300692734E-2</v>
      </c>
      <c r="O16">
        <f t="shared" si="4"/>
        <v>8.377045804979397E-3</v>
      </c>
      <c r="P16">
        <f t="shared" si="5"/>
        <v>1.1813211905841919E-2</v>
      </c>
      <c r="Q16">
        <f t="shared" si="6"/>
        <v>9.982766715092805E-3</v>
      </c>
      <c r="S16">
        <f t="shared" si="7"/>
        <v>4.624859743284146E-2</v>
      </c>
      <c r="T16" s="3">
        <f t="shared" si="8"/>
        <v>0.12890544265454784</v>
      </c>
      <c r="W16" s="1">
        <f t="shared" si="9"/>
        <v>0.34759049785825419</v>
      </c>
      <c r="X16" s="1">
        <f t="shared" si="10"/>
        <v>0.18113080763462888</v>
      </c>
      <c r="Y16" s="1">
        <f t="shared" si="11"/>
        <v>0.25542854403306237</v>
      </c>
      <c r="Z16" s="1">
        <f t="shared" si="12"/>
        <v>0.21585015047405462</v>
      </c>
    </row>
    <row r="17" spans="1:26" x14ac:dyDescent="0.25">
      <c r="A17">
        <v>14</v>
      </c>
      <c r="C17">
        <v>1.9455584774757298E-2</v>
      </c>
      <c r="D17">
        <v>3.714673512322398E-4</v>
      </c>
      <c r="E17">
        <v>0</v>
      </c>
      <c r="F17">
        <v>2.1310387606422156E-2</v>
      </c>
      <c r="G17">
        <v>3.2525263464007151E-2</v>
      </c>
      <c r="H17">
        <v>3.6712672711110127E-3</v>
      </c>
      <c r="I17">
        <v>1.7309591696570599E-3</v>
      </c>
      <c r="J17">
        <v>0</v>
      </c>
      <c r="L17" s="1">
        <f t="shared" si="1"/>
        <v>0.98126462023341765</v>
      </c>
      <c r="M17" s="2">
        <f t="shared" si="2"/>
        <v>1.873537976658235E-2</v>
      </c>
      <c r="N17">
        <f t="shared" si="3"/>
        <v>1.9827052125989536E-2</v>
      </c>
      <c r="O17">
        <f t="shared" si="4"/>
        <v>3.2525263464007151E-2</v>
      </c>
      <c r="P17">
        <f t="shared" si="5"/>
        <v>5.4022264407680726E-3</v>
      </c>
      <c r="Q17">
        <f t="shared" si="6"/>
        <v>2.1310387606422156E-2</v>
      </c>
      <c r="S17">
        <f t="shared" si="7"/>
        <v>7.906492963718692E-2</v>
      </c>
      <c r="T17" s="3">
        <f t="shared" si="8"/>
        <v>0.22037208302656369</v>
      </c>
      <c r="W17" s="1">
        <f t="shared" si="9"/>
        <v>0.25076923759967784</v>
      </c>
      <c r="X17" s="1">
        <f t="shared" si="10"/>
        <v>0.41137408979251677</v>
      </c>
      <c r="Y17" s="1">
        <f t="shared" si="11"/>
        <v>6.8326456060326682E-2</v>
      </c>
      <c r="Z17" s="1">
        <f t="shared" si="12"/>
        <v>0.26953021654747866</v>
      </c>
    </row>
    <row r="18" spans="1:26" x14ac:dyDescent="0.25">
      <c r="A18">
        <v>15</v>
      </c>
      <c r="C18">
        <v>2.2232129617864999E-2</v>
      </c>
      <c r="D18">
        <v>6.9935667337358079E-4</v>
      </c>
      <c r="E18">
        <v>2.3251672886002188E-3</v>
      </c>
      <c r="F18">
        <v>3.7822186699540475E-3</v>
      </c>
      <c r="G18">
        <v>2.2521678613660438E-2</v>
      </c>
      <c r="H18">
        <v>1.3453082144954814E-2</v>
      </c>
      <c r="I18">
        <v>5.4021586872522107E-3</v>
      </c>
      <c r="J18">
        <v>0</v>
      </c>
      <c r="L18" s="1">
        <f t="shared" si="1"/>
        <v>0.96950233994903401</v>
      </c>
      <c r="M18" s="2">
        <f t="shared" si="2"/>
        <v>3.0497660050965991E-2</v>
      </c>
      <c r="N18">
        <f t="shared" si="3"/>
        <v>2.2931486291238579E-2</v>
      </c>
      <c r="O18">
        <f t="shared" si="4"/>
        <v>2.2521678613660438E-2</v>
      </c>
      <c r="P18">
        <f t="shared" si="5"/>
        <v>1.8855240832207024E-2</v>
      </c>
      <c r="Q18">
        <f t="shared" si="6"/>
        <v>6.1073859585542662E-3</v>
      </c>
      <c r="S18">
        <f t="shared" si="7"/>
        <v>7.0415791695660312E-2</v>
      </c>
      <c r="T18" s="3">
        <f t="shared" si="8"/>
        <v>0.19626495293355423</v>
      </c>
      <c r="W18" s="1">
        <f t="shared" si="9"/>
        <v>0.32565828969656868</v>
      </c>
      <c r="X18" s="1">
        <f t="shared" si="10"/>
        <v>0.31983846338048683</v>
      </c>
      <c r="Y18" s="1">
        <f t="shared" si="11"/>
        <v>0.26777006092184663</v>
      </c>
      <c r="Z18" s="1">
        <f t="shared" si="12"/>
        <v>8.6733186001097834E-2</v>
      </c>
    </row>
    <row r="19" spans="1:26" x14ac:dyDescent="0.25">
      <c r="A19">
        <v>16</v>
      </c>
      <c r="C19">
        <v>1.1631933749792073E-2</v>
      </c>
      <c r="D19">
        <v>0</v>
      </c>
      <c r="E19">
        <v>0</v>
      </c>
      <c r="F19">
        <v>5.4093326414864279E-2</v>
      </c>
      <c r="G19">
        <v>4.3941236928218858E-2</v>
      </c>
      <c r="H19">
        <v>1.4287346773272036E-2</v>
      </c>
      <c r="I19">
        <v>0</v>
      </c>
      <c r="J19">
        <v>0</v>
      </c>
      <c r="L19" s="1">
        <f t="shared" si="1"/>
        <v>1</v>
      </c>
      <c r="M19" s="2">
        <f t="shared" si="2"/>
        <v>0</v>
      </c>
      <c r="N19">
        <f t="shared" si="3"/>
        <v>1.1631933749792073E-2</v>
      </c>
      <c r="O19">
        <f t="shared" si="4"/>
        <v>4.3941236928218858E-2</v>
      </c>
      <c r="P19">
        <f t="shared" si="5"/>
        <v>1.4287346773272036E-2</v>
      </c>
      <c r="Q19">
        <f t="shared" si="6"/>
        <v>5.4093326414864279E-2</v>
      </c>
      <c r="S19">
        <f t="shared" si="7"/>
        <v>0.12395384386614725</v>
      </c>
      <c r="T19" s="3">
        <f t="shared" si="8"/>
        <v>0.34548777691044308</v>
      </c>
      <c r="W19" s="1">
        <f t="shared" si="9"/>
        <v>9.3840847423440357E-2</v>
      </c>
      <c r="X19" s="1">
        <f t="shared" si="10"/>
        <v>0.3544967671649556</v>
      </c>
      <c r="Y19" s="1">
        <f t="shared" si="11"/>
        <v>0.11526344264644479</v>
      </c>
      <c r="Z19" s="1">
        <f t="shared" si="12"/>
        <v>0.43639894276515928</v>
      </c>
    </row>
    <row r="20" spans="1:26" x14ac:dyDescent="0.25">
      <c r="A20">
        <v>17</v>
      </c>
      <c r="C20">
        <v>4.0871500707309952E-2</v>
      </c>
      <c r="D20">
        <v>5.0554482574572984E-2</v>
      </c>
      <c r="E20">
        <v>7.5844198828083648E-3</v>
      </c>
      <c r="F20">
        <v>2.7381134473000793E-2</v>
      </c>
      <c r="G20">
        <v>0.13882838635965991</v>
      </c>
      <c r="H20">
        <v>6.2930927598222781E-3</v>
      </c>
      <c r="I20">
        <v>0</v>
      </c>
      <c r="J20">
        <v>0</v>
      </c>
      <c r="L20" s="1">
        <f t="shared" si="1"/>
        <v>0.44704469386230916</v>
      </c>
      <c r="M20" s="2">
        <f t="shared" si="2"/>
        <v>0.55295530613769084</v>
      </c>
      <c r="N20">
        <f t="shared" si="3"/>
        <v>9.1425983281882936E-2</v>
      </c>
      <c r="O20">
        <f t="shared" si="4"/>
        <v>0.13882838635965991</v>
      </c>
      <c r="P20">
        <f t="shared" si="5"/>
        <v>6.2930927598222781E-3</v>
      </c>
      <c r="Q20">
        <f t="shared" si="6"/>
        <v>3.4965554355809156E-2</v>
      </c>
      <c r="S20">
        <f t="shared" si="7"/>
        <v>0.27151301675717426</v>
      </c>
      <c r="T20" s="3">
        <f t="shared" si="8"/>
        <v>0.75676901688486264</v>
      </c>
      <c r="W20" s="1">
        <f t="shared" si="9"/>
        <v>0.33672780912617944</v>
      </c>
      <c r="X20" s="1">
        <f t="shared" si="10"/>
        <v>0.51131392526871033</v>
      </c>
      <c r="Y20" s="1">
        <f t="shared" si="11"/>
        <v>2.3177867621169929E-2</v>
      </c>
      <c r="Z20" s="1">
        <f t="shared" si="12"/>
        <v>0.12878039798394031</v>
      </c>
    </row>
    <row r="21" spans="1:26" x14ac:dyDescent="0.25">
      <c r="A21">
        <v>18</v>
      </c>
      <c r="C21">
        <v>6.8542161437578381E-2</v>
      </c>
      <c r="D21">
        <v>1.7458762554444573E-2</v>
      </c>
      <c r="E21">
        <v>1.1948389700782193E-3</v>
      </c>
      <c r="F21">
        <v>7.7564303074093746E-2</v>
      </c>
      <c r="G21">
        <v>4.9712986405094459E-2</v>
      </c>
      <c r="H21">
        <v>1.0444668168540859E-2</v>
      </c>
      <c r="I21">
        <v>0</v>
      </c>
      <c r="J21">
        <v>0</v>
      </c>
      <c r="L21" s="1">
        <f t="shared" si="1"/>
        <v>0.79699331421062447</v>
      </c>
      <c r="M21" s="2">
        <f t="shared" si="2"/>
        <v>0.20300668578937553</v>
      </c>
      <c r="N21">
        <f t="shared" si="3"/>
        <v>8.6000923992022957E-2</v>
      </c>
      <c r="O21">
        <f t="shared" si="4"/>
        <v>4.9712986405094459E-2</v>
      </c>
      <c r="P21">
        <f t="shared" si="5"/>
        <v>1.0444668168540859E-2</v>
      </c>
      <c r="Q21">
        <f t="shared" si="6"/>
        <v>7.8759142044171962E-2</v>
      </c>
      <c r="S21">
        <f t="shared" si="7"/>
        <v>0.22491772060983023</v>
      </c>
      <c r="T21" s="3">
        <f t="shared" si="8"/>
        <v>0.62689724543892567</v>
      </c>
      <c r="W21" s="1">
        <f t="shared" si="9"/>
        <v>0.3823661548714104</v>
      </c>
      <c r="X21" s="1">
        <f t="shared" si="10"/>
        <v>0.22102743292216037</v>
      </c>
      <c r="Y21" s="1">
        <f t="shared" si="11"/>
        <v>4.6437729051413683E-2</v>
      </c>
      <c r="Z21" s="1">
        <f t="shared" si="12"/>
        <v>0.35016868315501559</v>
      </c>
    </row>
    <row r="22" spans="1:26" x14ac:dyDescent="0.25">
      <c r="A22">
        <v>19</v>
      </c>
      <c r="C22">
        <v>1.7021777022706935E-2</v>
      </c>
      <c r="D22">
        <v>8.934177167243873E-3</v>
      </c>
      <c r="E22">
        <v>0</v>
      </c>
      <c r="F22">
        <v>2.7683671501887955E-2</v>
      </c>
      <c r="G22">
        <v>2.4458248296397752E-2</v>
      </c>
      <c r="H22">
        <v>8.1803906489912419E-3</v>
      </c>
      <c r="I22">
        <v>0</v>
      </c>
      <c r="J22">
        <v>0</v>
      </c>
      <c r="L22" s="1">
        <f t="shared" si="1"/>
        <v>0.65579469350801756</v>
      </c>
      <c r="M22" s="2">
        <f t="shared" si="2"/>
        <v>0.34420530649198244</v>
      </c>
      <c r="N22">
        <f t="shared" si="3"/>
        <v>2.5955954189950808E-2</v>
      </c>
      <c r="O22">
        <f t="shared" si="4"/>
        <v>2.4458248296397752E-2</v>
      </c>
      <c r="P22">
        <f t="shared" si="5"/>
        <v>8.1803906489912419E-3</v>
      </c>
      <c r="Q22">
        <f t="shared" si="6"/>
        <v>2.7683671501887955E-2</v>
      </c>
      <c r="S22">
        <f t="shared" si="7"/>
        <v>8.6278264637227764E-2</v>
      </c>
      <c r="T22" s="3">
        <f t="shared" si="8"/>
        <v>0.24047730119120198</v>
      </c>
      <c r="W22" s="1">
        <f t="shared" si="9"/>
        <v>0.30084001224511425</v>
      </c>
      <c r="X22" s="1">
        <f t="shared" si="10"/>
        <v>0.28348099488598649</v>
      </c>
      <c r="Y22" s="1">
        <f t="shared" si="11"/>
        <v>9.4814037850519395E-2</v>
      </c>
      <c r="Z22" s="1">
        <f t="shared" si="12"/>
        <v>0.3208649550183798</v>
      </c>
    </row>
    <row r="23" spans="1:26" x14ac:dyDescent="0.25">
      <c r="A23">
        <v>20</v>
      </c>
      <c r="C23">
        <v>7.1691972506465543E-3</v>
      </c>
      <c r="D23">
        <v>8.2063613354268448E-3</v>
      </c>
      <c r="E23">
        <v>0</v>
      </c>
      <c r="F23">
        <v>0</v>
      </c>
      <c r="G23">
        <v>2.5029951279495595E-2</v>
      </c>
      <c r="H23">
        <v>7.5905913511274403E-3</v>
      </c>
      <c r="I23">
        <v>0</v>
      </c>
      <c r="J23">
        <v>0</v>
      </c>
      <c r="L23" s="1">
        <f t="shared" si="1"/>
        <v>0.46627231202774921</v>
      </c>
      <c r="M23" s="2">
        <f t="shared" si="2"/>
        <v>0.53372768797225079</v>
      </c>
      <c r="N23">
        <f t="shared" si="3"/>
        <v>1.5375558586073399E-2</v>
      </c>
      <c r="O23">
        <f t="shared" si="4"/>
        <v>2.5029951279495595E-2</v>
      </c>
      <c r="P23">
        <f t="shared" si="5"/>
        <v>7.5905913511274403E-3</v>
      </c>
      <c r="Q23">
        <f t="shared" si="6"/>
        <v>0</v>
      </c>
      <c r="S23">
        <f t="shared" si="7"/>
        <v>4.7996101216696438E-2</v>
      </c>
      <c r="T23" s="3">
        <f t="shared" si="8"/>
        <v>0.13377613628207743</v>
      </c>
      <c r="W23" s="1">
        <f t="shared" si="9"/>
        <v>0.32035015753997725</v>
      </c>
      <c r="X23" s="1">
        <f t="shared" si="10"/>
        <v>0.52149967695268562</v>
      </c>
      <c r="Y23" s="1">
        <f t="shared" si="11"/>
        <v>0.15815016550733699</v>
      </c>
      <c r="Z23" s="1">
        <f t="shared" si="12"/>
        <v>0</v>
      </c>
    </row>
    <row r="24" spans="1:26" x14ac:dyDescent="0.25">
      <c r="A24">
        <v>21</v>
      </c>
      <c r="C24">
        <v>1.9297327985991583E-2</v>
      </c>
      <c r="D24">
        <v>5.2084250513188407E-3</v>
      </c>
      <c r="E24">
        <v>4.2603405220405909E-3</v>
      </c>
      <c r="F24">
        <v>1.1555674245823695E-2</v>
      </c>
      <c r="G24">
        <v>7.7539307567930565E-2</v>
      </c>
      <c r="H24">
        <v>6.8506857252006413E-3</v>
      </c>
      <c r="I24">
        <v>1.2860081886084604E-3</v>
      </c>
      <c r="J24">
        <v>8.0824115960007395E-4</v>
      </c>
      <c r="L24" s="1">
        <f t="shared" si="1"/>
        <v>0.78746113031544362</v>
      </c>
      <c r="M24" s="2">
        <f t="shared" si="2"/>
        <v>0.21253886968455638</v>
      </c>
      <c r="N24">
        <f t="shared" si="3"/>
        <v>2.4505753037310424E-2</v>
      </c>
      <c r="O24">
        <f t="shared" si="4"/>
        <v>7.7539307567930565E-2</v>
      </c>
      <c r="P24">
        <f t="shared" si="5"/>
        <v>8.1366939138091017E-3</v>
      </c>
      <c r="Q24">
        <f t="shared" si="6"/>
        <v>1.662425592746436E-2</v>
      </c>
      <c r="S24">
        <f t="shared" si="7"/>
        <v>0.12680601044651446</v>
      </c>
      <c r="T24" s="3">
        <f t="shared" si="8"/>
        <v>0.35343741897473768</v>
      </c>
      <c r="W24" s="1">
        <f t="shared" si="9"/>
        <v>0.19325387614530079</v>
      </c>
      <c r="X24" s="1">
        <f t="shared" si="10"/>
        <v>0.61147975001260602</v>
      </c>
      <c r="Y24" s="1">
        <f t="shared" si="11"/>
        <v>6.4166468806627117E-2</v>
      </c>
      <c r="Z24" s="1">
        <f t="shared" si="12"/>
        <v>0.13109990503546604</v>
      </c>
    </row>
    <row r="25" spans="1:26" x14ac:dyDescent="0.25">
      <c r="A25">
        <v>22</v>
      </c>
      <c r="C25">
        <v>1.9277839399844537E-2</v>
      </c>
      <c r="D25">
        <v>1.0158479629290805E-2</v>
      </c>
      <c r="E25">
        <v>0</v>
      </c>
      <c r="F25">
        <v>6.3690140167171486E-3</v>
      </c>
      <c r="G25">
        <v>2.0476358829903309E-2</v>
      </c>
      <c r="H25">
        <v>8.8073053920494151E-3</v>
      </c>
      <c r="I25">
        <v>0</v>
      </c>
      <c r="J25">
        <v>0</v>
      </c>
      <c r="L25" s="1">
        <f t="shared" si="1"/>
        <v>0.65489979846881696</v>
      </c>
      <c r="M25" s="2">
        <f t="shared" si="2"/>
        <v>0.34510020153118304</v>
      </c>
      <c r="N25">
        <f t="shared" si="3"/>
        <v>2.9436319029135342E-2</v>
      </c>
      <c r="O25">
        <f t="shared" si="4"/>
        <v>2.0476358829903309E-2</v>
      </c>
      <c r="P25">
        <f t="shared" si="5"/>
        <v>8.8073053920494151E-3</v>
      </c>
      <c r="Q25">
        <f t="shared" si="6"/>
        <v>6.3690140167171486E-3</v>
      </c>
      <c r="S25">
        <f t="shared" si="7"/>
        <v>6.5088997267805218E-2</v>
      </c>
      <c r="T25" s="3">
        <f t="shared" si="8"/>
        <v>0.18141795579705636</v>
      </c>
      <c r="W25" s="1">
        <f t="shared" si="9"/>
        <v>0.45224723478257273</v>
      </c>
      <c r="X25" s="1">
        <f t="shared" si="10"/>
        <v>0.31459017175597925</v>
      </c>
      <c r="Y25" s="1">
        <f t="shared" si="11"/>
        <v>0.13531173872309363</v>
      </c>
      <c r="Z25" s="1">
        <f t="shared" si="12"/>
        <v>9.7850854738354309E-2</v>
      </c>
    </row>
    <row r="26" spans="1:26" x14ac:dyDescent="0.25">
      <c r="A26">
        <v>23</v>
      </c>
      <c r="C26">
        <v>1.4448093331411838E-2</v>
      </c>
      <c r="D26">
        <v>0</v>
      </c>
      <c r="E26">
        <v>0</v>
      </c>
      <c r="F26">
        <v>2.2825808243417022E-2</v>
      </c>
      <c r="G26">
        <v>3.2013121698313218E-2</v>
      </c>
      <c r="H26">
        <v>1.8185639927242592E-2</v>
      </c>
      <c r="I26">
        <v>0</v>
      </c>
      <c r="J26">
        <v>0</v>
      </c>
      <c r="L26" s="1">
        <f t="shared" si="1"/>
        <v>1</v>
      </c>
      <c r="M26" s="2">
        <f t="shared" si="2"/>
        <v>0</v>
      </c>
      <c r="N26">
        <f t="shared" si="3"/>
        <v>1.4448093331411838E-2</v>
      </c>
      <c r="O26">
        <f t="shared" si="4"/>
        <v>3.2013121698313218E-2</v>
      </c>
      <c r="P26">
        <f t="shared" si="5"/>
        <v>1.8185639927242592E-2</v>
      </c>
      <c r="Q26">
        <f t="shared" si="6"/>
        <v>2.2825808243417022E-2</v>
      </c>
      <c r="S26">
        <f t="shared" si="7"/>
        <v>8.7472663200384673E-2</v>
      </c>
      <c r="T26" s="3">
        <f t="shared" si="8"/>
        <v>0.24380636377981932</v>
      </c>
      <c r="W26" s="1">
        <f t="shared" si="9"/>
        <v>0.16517266998392133</v>
      </c>
      <c r="X26" s="1">
        <f t="shared" si="10"/>
        <v>0.36597858721846299</v>
      </c>
      <c r="Y26" s="1">
        <f t="shared" si="11"/>
        <v>0.20790083738027332</v>
      </c>
      <c r="Z26" s="1">
        <f t="shared" si="12"/>
        <v>0.26094790541734236</v>
      </c>
    </row>
    <row r="27" spans="1:26" x14ac:dyDescent="0.25">
      <c r="A27">
        <v>24</v>
      </c>
      <c r="C27">
        <v>1.7420647406071507E-2</v>
      </c>
      <c r="D27">
        <v>0</v>
      </c>
      <c r="E27">
        <v>6.9588543361443263E-3</v>
      </c>
      <c r="F27">
        <v>2.1479566980825756E-3</v>
      </c>
      <c r="G27">
        <v>0.2131029494203841</v>
      </c>
      <c r="H27">
        <v>2.4185163788725924E-2</v>
      </c>
      <c r="I27">
        <v>1.2908116508451164E-2</v>
      </c>
      <c r="J27">
        <v>0</v>
      </c>
      <c r="L27" s="1">
        <f t="shared" si="1"/>
        <v>1</v>
      </c>
      <c r="M27" s="2">
        <f t="shared" si="2"/>
        <v>0</v>
      </c>
      <c r="N27">
        <f t="shared" si="3"/>
        <v>1.7420647406071507E-2</v>
      </c>
      <c r="O27">
        <f t="shared" si="4"/>
        <v>0.2131029494203841</v>
      </c>
      <c r="P27">
        <f t="shared" si="5"/>
        <v>3.7093280297177088E-2</v>
      </c>
      <c r="Q27">
        <f t="shared" si="6"/>
        <v>9.1068110342269019E-3</v>
      </c>
      <c r="S27">
        <f t="shared" si="7"/>
        <v>0.27672368815785958</v>
      </c>
      <c r="T27" s="3">
        <f t="shared" si="8"/>
        <v>0.77129235252564821</v>
      </c>
      <c r="W27" s="1">
        <f t="shared" si="9"/>
        <v>6.2953220673084329E-2</v>
      </c>
      <c r="X27" s="1">
        <f t="shared" si="10"/>
        <v>0.77009290689569576</v>
      </c>
      <c r="Y27" s="1">
        <f t="shared" si="11"/>
        <v>0.13404447065629194</v>
      </c>
      <c r="Z27" s="1">
        <f t="shared" si="12"/>
        <v>3.2909401774928057E-2</v>
      </c>
    </row>
    <row r="28" spans="1:26" x14ac:dyDescent="0.25">
      <c r="A28">
        <v>25</v>
      </c>
      <c r="C28">
        <v>4.9353840158619905E-2</v>
      </c>
      <c r="D28">
        <v>0.10925045484530493</v>
      </c>
      <c r="E28">
        <v>0</v>
      </c>
      <c r="F28">
        <v>9.4202607546669467E-2</v>
      </c>
      <c r="G28">
        <v>8.3869128504596185E-2</v>
      </c>
      <c r="H28">
        <v>8.6248256850902788E-3</v>
      </c>
      <c r="I28">
        <v>9.2147044846554657E-4</v>
      </c>
      <c r="J28">
        <v>0</v>
      </c>
      <c r="L28" s="1">
        <f t="shared" si="1"/>
        <v>0.31117593730610255</v>
      </c>
      <c r="M28" s="2">
        <f t="shared" si="2"/>
        <v>0.68882406269389751</v>
      </c>
      <c r="N28">
        <f t="shared" si="3"/>
        <v>0.15860429500392484</v>
      </c>
      <c r="O28">
        <f t="shared" si="4"/>
        <v>8.3869128504596185E-2</v>
      </c>
      <c r="P28">
        <f t="shared" si="5"/>
        <v>9.5462961335558254E-3</v>
      </c>
      <c r="Q28">
        <f t="shared" si="6"/>
        <v>9.4202607546669467E-2</v>
      </c>
      <c r="S28">
        <f t="shared" si="7"/>
        <v>0.34622232718874635</v>
      </c>
      <c r="T28" s="3">
        <f t="shared" si="8"/>
        <v>0.96500099074271595</v>
      </c>
      <c r="W28" s="1">
        <f t="shared" si="9"/>
        <v>0.45809955785277884</v>
      </c>
      <c r="X28" s="1">
        <f t="shared" si="10"/>
        <v>0.24224066999259161</v>
      </c>
      <c r="Y28" s="1">
        <f t="shared" si="11"/>
        <v>2.757273400323363E-2</v>
      </c>
      <c r="Z28" s="1">
        <f t="shared" si="12"/>
        <v>0.27208703815139579</v>
      </c>
    </row>
    <row r="29" spans="1:26" x14ac:dyDescent="0.25">
      <c r="A29">
        <v>26</v>
      </c>
      <c r="C29">
        <v>7.7741765730384368E-2</v>
      </c>
      <c r="D29">
        <v>3.0457293467579447E-2</v>
      </c>
      <c r="E29">
        <v>1.9265648781232853E-2</v>
      </c>
      <c r="F29">
        <v>5.3027128163158431E-2</v>
      </c>
      <c r="G29">
        <v>0.19612183208198217</v>
      </c>
      <c r="H29">
        <v>1.6136584711547271E-2</v>
      </c>
      <c r="I29">
        <v>4.3886618210277444E-3</v>
      </c>
      <c r="J29">
        <v>0</v>
      </c>
      <c r="L29" s="1">
        <f t="shared" si="1"/>
        <v>0.71850685492695465</v>
      </c>
      <c r="M29" s="2">
        <f t="shared" si="2"/>
        <v>0.28149314507304535</v>
      </c>
      <c r="N29">
        <f t="shared" si="3"/>
        <v>0.10819905919796381</v>
      </c>
      <c r="O29">
        <f t="shared" si="4"/>
        <v>0.19612183208198217</v>
      </c>
      <c r="P29">
        <f t="shared" si="5"/>
        <v>2.0525246532575016E-2</v>
      </c>
      <c r="Q29">
        <f t="shared" si="6"/>
        <v>7.229277694439129E-2</v>
      </c>
      <c r="S29">
        <f t="shared" si="7"/>
        <v>0.39713891475691232</v>
      </c>
      <c r="T29" s="3">
        <f t="shared" si="8"/>
        <v>1.1069171919521552</v>
      </c>
      <c r="W29" s="1">
        <f t="shared" si="9"/>
        <v>0.27244637877955669</v>
      </c>
      <c r="X29" s="1">
        <f t="shared" si="10"/>
        <v>0.49383685354034829</v>
      </c>
      <c r="Y29" s="1">
        <f t="shared" si="11"/>
        <v>5.1682788490114262E-2</v>
      </c>
      <c r="Z29" s="1">
        <f t="shared" si="12"/>
        <v>0.18203397918998068</v>
      </c>
    </row>
    <row r="30" spans="1:26" x14ac:dyDescent="0.25">
      <c r="A30">
        <v>27</v>
      </c>
      <c r="C30">
        <v>3.0480407343034518E-2</v>
      </c>
      <c r="D30">
        <v>5.6400852510636104E-3</v>
      </c>
      <c r="E30">
        <v>1.4723077969718123E-3</v>
      </c>
      <c r="F30">
        <v>3.1341787643164205E-2</v>
      </c>
      <c r="G30">
        <v>4.8170858920352166E-2</v>
      </c>
      <c r="H30">
        <v>1.937517404685422E-2</v>
      </c>
      <c r="I30">
        <v>0</v>
      </c>
      <c r="J30">
        <v>0</v>
      </c>
      <c r="L30" s="1">
        <f t="shared" si="1"/>
        <v>0.84385358985981362</v>
      </c>
      <c r="M30" s="2">
        <f t="shared" si="2"/>
        <v>0.15614641014018638</v>
      </c>
      <c r="N30">
        <f t="shared" si="3"/>
        <v>3.6120492594098129E-2</v>
      </c>
      <c r="O30">
        <f t="shared" si="4"/>
        <v>4.8170858920352166E-2</v>
      </c>
      <c r="P30">
        <f t="shared" si="5"/>
        <v>1.937517404685422E-2</v>
      </c>
      <c r="Q30">
        <f t="shared" si="6"/>
        <v>3.2814095440136019E-2</v>
      </c>
      <c r="S30">
        <f t="shared" si="7"/>
        <v>0.13648062100144054</v>
      </c>
      <c r="T30" s="3">
        <f t="shared" si="8"/>
        <v>0.38040277631133712</v>
      </c>
      <c r="W30" s="1">
        <f t="shared" si="9"/>
        <v>0.2646565668375504</v>
      </c>
      <c r="X30" s="1">
        <f t="shared" si="10"/>
        <v>0.35295017392867611</v>
      </c>
      <c r="Y30" s="1">
        <f t="shared" si="11"/>
        <v>0.14196282156900294</v>
      </c>
      <c r="Z30" s="1">
        <f t="shared" si="12"/>
        <v>0.24043043766477051</v>
      </c>
    </row>
    <row r="31" spans="1:26" x14ac:dyDescent="0.25">
      <c r="A31">
        <v>28</v>
      </c>
      <c r="C31">
        <v>0.11598556650555546</v>
      </c>
      <c r="D31">
        <v>7.9649249667589073E-3</v>
      </c>
      <c r="E31">
        <v>4.6036086041665435E-3</v>
      </c>
      <c r="F31">
        <v>7.0919259547422162E-2</v>
      </c>
      <c r="G31">
        <v>0.11874770263315772</v>
      </c>
      <c r="H31">
        <v>1.4357054779909791E-2</v>
      </c>
      <c r="I31">
        <v>0</v>
      </c>
      <c r="J31">
        <v>0</v>
      </c>
      <c r="L31" s="1">
        <f t="shared" si="1"/>
        <v>0.93574107797274886</v>
      </c>
      <c r="M31" s="2">
        <f t="shared" si="2"/>
        <v>6.4258922027251142E-2</v>
      </c>
      <c r="N31">
        <f t="shared" si="3"/>
        <v>0.12395049147231436</v>
      </c>
      <c r="O31">
        <f t="shared" si="4"/>
        <v>0.11874770263315772</v>
      </c>
      <c r="P31">
        <f t="shared" si="5"/>
        <v>1.4357054779909791E-2</v>
      </c>
      <c r="Q31">
        <f t="shared" si="6"/>
        <v>7.5522868151588707E-2</v>
      </c>
      <c r="S31">
        <f t="shared" si="7"/>
        <v>0.3325781170369706</v>
      </c>
      <c r="T31" s="3">
        <f t="shared" si="8"/>
        <v>0.92697144937467046</v>
      </c>
      <c r="W31" s="1">
        <f t="shared" si="9"/>
        <v>0.37269587240622803</v>
      </c>
      <c r="X31" s="1">
        <f t="shared" si="10"/>
        <v>0.35705206250824162</v>
      </c>
      <c r="Y31" s="1">
        <f t="shared" si="11"/>
        <v>4.3168970068808848E-2</v>
      </c>
      <c r="Z31" s="1">
        <f t="shared" si="12"/>
        <v>0.22708309501672147</v>
      </c>
    </row>
    <row r="32" spans="1:26" x14ac:dyDescent="0.25">
      <c r="A32">
        <v>29</v>
      </c>
      <c r="C32">
        <v>6.2838968915358576E-2</v>
      </c>
      <c r="D32">
        <v>0.34831484011868336</v>
      </c>
      <c r="E32">
        <v>0</v>
      </c>
      <c r="F32">
        <v>0.18497212664579776</v>
      </c>
      <c r="G32">
        <v>4.3819001429014334E-2</v>
      </c>
      <c r="H32">
        <v>0.14827784338691988</v>
      </c>
      <c r="I32">
        <v>0</v>
      </c>
      <c r="J32">
        <v>0</v>
      </c>
      <c r="L32" s="1">
        <f t="shared" si="1"/>
        <v>0.15283567252603455</v>
      </c>
      <c r="M32" s="2">
        <f t="shared" si="2"/>
        <v>0.84716432747396542</v>
      </c>
      <c r="N32">
        <f t="shared" si="3"/>
        <v>0.41115380903404192</v>
      </c>
      <c r="O32">
        <f t="shared" si="4"/>
        <v>4.3819001429014334E-2</v>
      </c>
      <c r="P32">
        <f t="shared" si="5"/>
        <v>0.14827784338691988</v>
      </c>
      <c r="Q32">
        <f t="shared" si="6"/>
        <v>0.18497212664579776</v>
      </c>
      <c r="S32">
        <f t="shared" si="7"/>
        <v>0.78822278049577388</v>
      </c>
      <c r="T32" s="3">
        <f t="shared" si="8"/>
        <v>2.1969575742864569</v>
      </c>
      <c r="W32" s="1">
        <f t="shared" si="9"/>
        <v>0.52162132230615776</v>
      </c>
      <c r="X32" s="1">
        <f t="shared" si="10"/>
        <v>5.5592153022338678E-2</v>
      </c>
      <c r="Y32" s="1">
        <f t="shared" si="11"/>
        <v>0.18811666835314828</v>
      </c>
      <c r="Z32" s="1">
        <f t="shared" si="12"/>
        <v>0.2346698563183553</v>
      </c>
    </row>
    <row r="33" spans="1:26" x14ac:dyDescent="0.25">
      <c r="A33">
        <v>30</v>
      </c>
      <c r="C33">
        <v>2.4621915961000856E-2</v>
      </c>
      <c r="D33">
        <v>8.0564282944548676E-3</v>
      </c>
      <c r="E33">
        <v>0</v>
      </c>
      <c r="F33">
        <v>0</v>
      </c>
      <c r="G33">
        <v>8.4198483183731739E-3</v>
      </c>
      <c r="H33">
        <v>9.4645955337585574E-3</v>
      </c>
      <c r="I33">
        <v>4.8074549206184106E-3</v>
      </c>
      <c r="J33">
        <v>2.341101948879841E-3</v>
      </c>
      <c r="L33" s="1">
        <f t="shared" si="1"/>
        <v>0.75346277548594498</v>
      </c>
      <c r="M33" s="2">
        <f t="shared" si="2"/>
        <v>0.24653722451405502</v>
      </c>
      <c r="N33">
        <f t="shared" si="3"/>
        <v>3.2678344255455724E-2</v>
      </c>
      <c r="O33">
        <f t="shared" si="4"/>
        <v>8.4198483183731739E-3</v>
      </c>
      <c r="P33">
        <f t="shared" si="5"/>
        <v>1.4272050454376968E-2</v>
      </c>
      <c r="Q33">
        <f t="shared" si="6"/>
        <v>2.341101948879841E-3</v>
      </c>
      <c r="S33">
        <f t="shared" si="7"/>
        <v>5.7711344977085709E-2</v>
      </c>
      <c r="T33" s="3">
        <f t="shared" si="8"/>
        <v>0.1608547476766905</v>
      </c>
      <c r="W33" s="1">
        <f t="shared" si="9"/>
        <v>0.56623778684122961</v>
      </c>
      <c r="X33" s="1">
        <f t="shared" si="10"/>
        <v>0.14589589484903315</v>
      </c>
      <c r="Y33" s="1">
        <f t="shared" si="11"/>
        <v>0.24730060372087476</v>
      </c>
      <c r="Z33" s="1">
        <f t="shared" si="12"/>
        <v>4.0565714588862475E-2</v>
      </c>
    </row>
    <row r="34" spans="1:26" x14ac:dyDescent="0.25">
      <c r="A34">
        <v>31</v>
      </c>
      <c r="C34">
        <v>1.2400913729448765E-2</v>
      </c>
      <c r="D34">
        <v>3.4207562050252688E-2</v>
      </c>
      <c r="E34">
        <v>0</v>
      </c>
      <c r="F34">
        <v>1.7415133324046463E-2</v>
      </c>
      <c r="G34">
        <v>1.2068844426534824E-2</v>
      </c>
      <c r="H34">
        <v>0</v>
      </c>
      <c r="I34">
        <v>0</v>
      </c>
      <c r="J34">
        <v>0</v>
      </c>
      <c r="L34" s="1">
        <f t="shared" si="1"/>
        <v>0.26606563553081286</v>
      </c>
      <c r="M34" s="2">
        <f t="shared" si="2"/>
        <v>0.73393436446918714</v>
      </c>
      <c r="N34">
        <f t="shared" si="3"/>
        <v>4.6608475779701453E-2</v>
      </c>
      <c r="O34">
        <f t="shared" si="4"/>
        <v>1.2068844426534824E-2</v>
      </c>
      <c r="P34">
        <f t="shared" si="5"/>
        <v>0</v>
      </c>
      <c r="Q34">
        <f t="shared" si="6"/>
        <v>1.7415133324046463E-2</v>
      </c>
      <c r="S34">
        <f t="shared" si="7"/>
        <v>7.6092453530282739E-2</v>
      </c>
      <c r="T34" s="3">
        <f t="shared" si="8"/>
        <v>0.21208711073314532</v>
      </c>
      <c r="W34" s="1">
        <f t="shared" si="9"/>
        <v>0.61252428614557075</v>
      </c>
      <c r="X34" s="1">
        <f t="shared" si="10"/>
        <v>0.15860763934667646</v>
      </c>
      <c r="Y34" s="1">
        <f t="shared" si="11"/>
        <v>0</v>
      </c>
      <c r="Z34" s="1">
        <f t="shared" si="12"/>
        <v>0.22886807450775273</v>
      </c>
    </row>
    <row r="35" spans="1:26" x14ac:dyDescent="0.25">
      <c r="A35">
        <v>32</v>
      </c>
      <c r="C35">
        <v>1.7914333080243608E-2</v>
      </c>
      <c r="D35">
        <v>2.0184829483243464E-3</v>
      </c>
      <c r="E35">
        <v>0</v>
      </c>
      <c r="F35">
        <v>4.3703484136944533E-2</v>
      </c>
      <c r="G35">
        <v>1.9327810866346686E-2</v>
      </c>
      <c r="H35">
        <v>1.0721449030849504E-2</v>
      </c>
      <c r="I35">
        <v>1.271253266964964E-3</v>
      </c>
      <c r="J35">
        <v>0</v>
      </c>
      <c r="L35" s="1">
        <f t="shared" si="1"/>
        <v>0.89873568564364259</v>
      </c>
      <c r="M35" s="2">
        <f t="shared" si="2"/>
        <v>0.10126431435635741</v>
      </c>
      <c r="N35">
        <f t="shared" si="3"/>
        <v>1.9932816028567953E-2</v>
      </c>
      <c r="O35">
        <f t="shared" si="4"/>
        <v>1.9327810866346686E-2</v>
      </c>
      <c r="P35">
        <f t="shared" si="5"/>
        <v>1.1992702297814468E-2</v>
      </c>
      <c r="Q35">
        <f t="shared" si="6"/>
        <v>4.3703484136944533E-2</v>
      </c>
      <c r="S35">
        <f t="shared" si="7"/>
        <v>9.4956813329673637E-2</v>
      </c>
      <c r="T35" s="3">
        <f t="shared" si="8"/>
        <v>0.26466640578887735</v>
      </c>
      <c r="W35" s="1">
        <f t="shared" si="9"/>
        <v>0.20991454251275959</v>
      </c>
      <c r="X35" s="1">
        <f t="shared" si="10"/>
        <v>0.20354317071744887</v>
      </c>
      <c r="Y35" s="1">
        <f t="shared" si="11"/>
        <v>0.12629638545448951</v>
      </c>
      <c r="Z35" s="1">
        <f t="shared" si="12"/>
        <v>0.46024590131530208</v>
      </c>
    </row>
    <row r="36" spans="1:26" x14ac:dyDescent="0.25">
      <c r="A36">
        <v>33</v>
      </c>
      <c r="C36">
        <v>1.6307059087533965E-2</v>
      </c>
      <c r="D36">
        <v>8.3365431234925721E-3</v>
      </c>
      <c r="E36">
        <v>0</v>
      </c>
      <c r="F36">
        <v>1.4626182432425625E-2</v>
      </c>
      <c r="G36">
        <v>1.3253573062645546E-2</v>
      </c>
      <c r="H36">
        <v>9.8898808893373887E-3</v>
      </c>
      <c r="I36">
        <v>1.2873419626651776E-3</v>
      </c>
      <c r="J36">
        <v>-1.1775784894108715E-4</v>
      </c>
      <c r="L36" s="1">
        <f t="shared" si="1"/>
        <v>0.66171572434477666</v>
      </c>
      <c r="M36" s="2">
        <f t="shared" si="2"/>
        <v>0.33828427565522334</v>
      </c>
      <c r="N36">
        <f t="shared" si="3"/>
        <v>2.4643602211026537E-2</v>
      </c>
      <c r="O36">
        <f t="shared" si="4"/>
        <v>1.3253573062645546E-2</v>
      </c>
      <c r="P36">
        <f t="shared" si="5"/>
        <v>1.1177222852002566E-2</v>
      </c>
      <c r="Q36">
        <f t="shared" si="6"/>
        <v>1.4508424583484537E-2</v>
      </c>
      <c r="S36">
        <f t="shared" si="7"/>
        <v>6.3582822709159187E-2</v>
      </c>
      <c r="T36" s="3">
        <f t="shared" si="8"/>
        <v>0.17721990204030796</v>
      </c>
      <c r="W36" s="1">
        <f t="shared" si="9"/>
        <v>0.38758270175816834</v>
      </c>
      <c r="X36" s="1">
        <f t="shared" si="10"/>
        <v>0.20844581127311845</v>
      </c>
      <c r="Y36" s="1">
        <f t="shared" si="11"/>
        <v>0.17578997559025439</v>
      </c>
      <c r="Z36" s="1">
        <f t="shared" si="12"/>
        <v>0.22818151137845882</v>
      </c>
    </row>
    <row r="37" spans="1:26" x14ac:dyDescent="0.25">
      <c r="A37">
        <v>34</v>
      </c>
      <c r="C37">
        <v>4.2420859594999041E-2</v>
      </c>
      <c r="D37">
        <v>2.6279976962915088E-3</v>
      </c>
      <c r="E37">
        <v>0</v>
      </c>
      <c r="F37">
        <v>4.9432342152789487E-2</v>
      </c>
      <c r="G37">
        <v>9.3540722043298816E-2</v>
      </c>
      <c r="H37">
        <v>2.1676002487460651E-2</v>
      </c>
      <c r="I37">
        <v>2.6176439289749311E-3</v>
      </c>
      <c r="J37">
        <v>0</v>
      </c>
      <c r="L37" s="1">
        <f t="shared" si="1"/>
        <v>0.94166338827867246</v>
      </c>
      <c r="M37" s="2">
        <f t="shared" si="2"/>
        <v>5.8336611721327536E-2</v>
      </c>
      <c r="N37">
        <f t="shared" si="3"/>
        <v>4.5048857291290552E-2</v>
      </c>
      <c r="O37">
        <f t="shared" si="4"/>
        <v>9.3540722043298816E-2</v>
      </c>
      <c r="P37">
        <f t="shared" si="5"/>
        <v>2.4293646416435583E-2</v>
      </c>
      <c r="Q37">
        <f t="shared" si="6"/>
        <v>4.9432342152789487E-2</v>
      </c>
      <c r="S37">
        <f t="shared" si="7"/>
        <v>0.21231556790381445</v>
      </c>
      <c r="T37" s="3">
        <f t="shared" si="8"/>
        <v>0.59177215704401553</v>
      </c>
      <c r="W37" s="1">
        <f t="shared" si="9"/>
        <v>0.2121787758479354</v>
      </c>
      <c r="X37" s="1">
        <f t="shared" si="10"/>
        <v>0.44057401426953141</v>
      </c>
      <c r="Y37" s="1">
        <f t="shared" si="11"/>
        <v>0.11442235091984097</v>
      </c>
      <c r="Z37" s="1">
        <f t="shared" si="12"/>
        <v>0.23282485896269214</v>
      </c>
    </row>
    <row r="38" spans="1:26" x14ac:dyDescent="0.25">
      <c r="A38">
        <v>35</v>
      </c>
      <c r="C38">
        <v>2.1948752922917661E-2</v>
      </c>
      <c r="D38">
        <v>0.1090930961370232</v>
      </c>
      <c r="E38">
        <v>0</v>
      </c>
      <c r="F38">
        <v>8.4258050386883623E-2</v>
      </c>
      <c r="G38">
        <v>4.4394703095706659E-2</v>
      </c>
      <c r="H38">
        <v>2.6622563151849753E-2</v>
      </c>
      <c r="I38">
        <v>0</v>
      </c>
      <c r="J38">
        <v>0</v>
      </c>
      <c r="L38" s="1">
        <f t="shared" si="1"/>
        <v>0.16749422478675427</v>
      </c>
      <c r="M38" s="2">
        <f t="shared" si="2"/>
        <v>0.83250577521324576</v>
      </c>
      <c r="N38">
        <f t="shared" si="3"/>
        <v>0.13104184905994087</v>
      </c>
      <c r="O38">
        <f t="shared" si="4"/>
        <v>4.4394703095706659E-2</v>
      </c>
      <c r="P38">
        <f t="shared" si="5"/>
        <v>2.6622563151849753E-2</v>
      </c>
      <c r="Q38">
        <f t="shared" si="6"/>
        <v>8.4258050386883623E-2</v>
      </c>
      <c r="S38">
        <f t="shared" si="7"/>
        <v>0.28631716569438087</v>
      </c>
      <c r="T38" s="3">
        <f t="shared" si="8"/>
        <v>0.79803157354175591</v>
      </c>
      <c r="W38" s="1">
        <f t="shared" si="9"/>
        <v>0.45768072878947419</v>
      </c>
      <c r="X38" s="1">
        <f t="shared" si="10"/>
        <v>0.1550542839023987</v>
      </c>
      <c r="Y38" s="1">
        <f t="shared" si="11"/>
        <v>9.2982769954725888E-2</v>
      </c>
      <c r="Z38" s="1">
        <f t="shared" si="12"/>
        <v>0.29428221735340138</v>
      </c>
    </row>
    <row r="39" spans="1:26" x14ac:dyDescent="0.25">
      <c r="A39">
        <v>36</v>
      </c>
      <c r="C39">
        <v>1.394678847170594E-2</v>
      </c>
      <c r="D39">
        <v>3.075804531464137E-2</v>
      </c>
      <c r="E39">
        <v>0</v>
      </c>
      <c r="F39">
        <v>2.3739229842975142E-2</v>
      </c>
      <c r="G39">
        <v>1.956162709575926E-2</v>
      </c>
      <c r="H39">
        <v>7.1702344169862799E-3</v>
      </c>
      <c r="I39">
        <v>-2.1327062131285511E-4</v>
      </c>
      <c r="J39">
        <v>0</v>
      </c>
      <c r="L39" s="1">
        <f t="shared" si="1"/>
        <v>0.31197495417073307</v>
      </c>
      <c r="M39" s="2">
        <f t="shared" si="2"/>
        <v>0.68802504582926693</v>
      </c>
      <c r="N39">
        <f t="shared" si="3"/>
        <v>4.4704833786347306E-2</v>
      </c>
      <c r="O39">
        <f t="shared" si="4"/>
        <v>1.956162709575926E-2</v>
      </c>
      <c r="P39">
        <f t="shared" si="5"/>
        <v>6.9569637956734248E-3</v>
      </c>
      <c r="Q39">
        <f t="shared" si="6"/>
        <v>2.3739229842975142E-2</v>
      </c>
      <c r="S39">
        <f t="shared" si="7"/>
        <v>9.4962654520755141E-2</v>
      </c>
      <c r="T39" s="3">
        <f t="shared" si="8"/>
        <v>0.26468268652740318</v>
      </c>
      <c r="W39" s="1">
        <f t="shared" si="9"/>
        <v>0.4707622592476769</v>
      </c>
      <c r="X39" s="1">
        <f t="shared" si="10"/>
        <v>0.20599284207544818</v>
      </c>
      <c r="Y39" s="1">
        <f t="shared" si="11"/>
        <v>7.3259997109209954E-2</v>
      </c>
      <c r="Z39" s="1">
        <f t="shared" si="12"/>
        <v>0.2499849015676649</v>
      </c>
    </row>
    <row r="40" spans="1:26" x14ac:dyDescent="0.25">
      <c r="A40">
        <v>37</v>
      </c>
      <c r="C40">
        <v>1.6468027681087058E-2</v>
      </c>
      <c r="D40">
        <v>3.8697546336720866E-3</v>
      </c>
      <c r="E40">
        <v>0</v>
      </c>
      <c r="F40">
        <v>6.2437645507070665E-3</v>
      </c>
      <c r="G40">
        <v>1.0369637394132929E-2</v>
      </c>
      <c r="H40">
        <v>9.6478288989125874E-3</v>
      </c>
      <c r="I40">
        <v>7.281474224397063E-3</v>
      </c>
      <c r="J40">
        <v>0</v>
      </c>
      <c r="L40" s="1">
        <f t="shared" si="1"/>
        <v>0.80972583078225779</v>
      </c>
      <c r="M40" s="2">
        <f t="shared" si="2"/>
        <v>0.19027416921774221</v>
      </c>
      <c r="N40">
        <f t="shared" si="3"/>
        <v>2.0337782314759145E-2</v>
      </c>
      <c r="O40">
        <f t="shared" si="4"/>
        <v>1.0369637394132929E-2</v>
      </c>
      <c r="P40">
        <f t="shared" si="5"/>
        <v>1.692930312330965E-2</v>
      </c>
      <c r="Q40">
        <f t="shared" si="6"/>
        <v>6.2437645507070665E-3</v>
      </c>
      <c r="S40">
        <f t="shared" si="7"/>
        <v>5.3880487382908793E-2</v>
      </c>
      <c r="T40" s="3">
        <f t="shared" si="8"/>
        <v>0.15017726941065238</v>
      </c>
      <c r="W40" s="1">
        <f t="shared" si="9"/>
        <v>0.37746099381443993</v>
      </c>
      <c r="X40" s="1">
        <f t="shared" si="10"/>
        <v>0.19245626566886326</v>
      </c>
      <c r="Y40" s="1">
        <f t="shared" si="11"/>
        <v>0.3142010019879613</v>
      </c>
      <c r="Z40" s="1">
        <f t="shared" si="12"/>
        <v>0.11588173852873546</v>
      </c>
    </row>
    <row r="41" spans="1:26" x14ac:dyDescent="0.25">
      <c r="A41">
        <v>38</v>
      </c>
      <c r="C41">
        <v>2.1151964387573968E-2</v>
      </c>
      <c r="D41">
        <v>0</v>
      </c>
      <c r="E41">
        <v>1.8667074628219947E-3</v>
      </c>
      <c r="F41">
        <v>3.7929487085256709E-2</v>
      </c>
      <c r="G41">
        <v>3.4712479715333144E-2</v>
      </c>
      <c r="H41">
        <v>1.0998909144320088E-2</v>
      </c>
      <c r="I41">
        <v>6.4111286665869231E-3</v>
      </c>
      <c r="J41">
        <v>0</v>
      </c>
      <c r="L41" s="1">
        <f t="shared" si="1"/>
        <v>1</v>
      </c>
      <c r="M41" s="2">
        <f t="shared" si="2"/>
        <v>0</v>
      </c>
      <c r="N41">
        <f t="shared" si="3"/>
        <v>2.1151964387573968E-2</v>
      </c>
      <c r="O41">
        <f t="shared" si="4"/>
        <v>3.4712479715333144E-2</v>
      </c>
      <c r="P41">
        <f t="shared" si="5"/>
        <v>1.7410037810907011E-2</v>
      </c>
      <c r="Q41">
        <f t="shared" si="6"/>
        <v>3.97961945480787E-2</v>
      </c>
      <c r="S41">
        <f t="shared" si="7"/>
        <v>0.11307067646189282</v>
      </c>
      <c r="T41" s="3">
        <f t="shared" si="8"/>
        <v>0.31515389459614929</v>
      </c>
      <c r="W41" s="1">
        <f t="shared" si="9"/>
        <v>0.18706852253336098</v>
      </c>
      <c r="X41" s="1">
        <f t="shared" si="10"/>
        <v>0.30699807236964727</v>
      </c>
      <c r="Y41" s="1">
        <f t="shared" si="11"/>
        <v>0.1539748266808553</v>
      </c>
      <c r="Z41" s="1">
        <f t="shared" si="12"/>
        <v>0.35195857841613648</v>
      </c>
    </row>
    <row r="42" spans="1:26" x14ac:dyDescent="0.25">
      <c r="A42">
        <v>39</v>
      </c>
      <c r="C42">
        <v>2.5488218303422627E-2</v>
      </c>
      <c r="D42">
        <v>3.3135727608809631E-3</v>
      </c>
      <c r="E42">
        <v>0</v>
      </c>
      <c r="F42">
        <v>5.7173331527786359E-3</v>
      </c>
      <c r="G42">
        <v>2.0680111242175201E-2</v>
      </c>
      <c r="H42">
        <v>1.0943198491196186E-2</v>
      </c>
      <c r="I42">
        <v>9.5110559372968972E-3</v>
      </c>
      <c r="J42">
        <v>0</v>
      </c>
      <c r="L42" s="1">
        <f t="shared" si="1"/>
        <v>0.88495254501766929</v>
      </c>
      <c r="M42" s="2">
        <f t="shared" si="2"/>
        <v>0.11504745498233071</v>
      </c>
      <c r="N42">
        <f t="shared" si="3"/>
        <v>2.880179106430359E-2</v>
      </c>
      <c r="O42">
        <f t="shared" si="4"/>
        <v>2.0680111242175201E-2</v>
      </c>
      <c r="P42">
        <f t="shared" si="5"/>
        <v>2.0454254428493083E-2</v>
      </c>
      <c r="Q42">
        <f t="shared" si="6"/>
        <v>5.7173331527786359E-3</v>
      </c>
      <c r="S42">
        <f t="shared" si="7"/>
        <v>7.5653489887750516E-2</v>
      </c>
      <c r="T42" s="3">
        <f t="shared" si="8"/>
        <v>0.21086361843736195</v>
      </c>
      <c r="W42" s="1">
        <f t="shared" si="9"/>
        <v>0.38070670774127829</v>
      </c>
      <c r="X42" s="1">
        <f t="shared" si="10"/>
        <v>0.27335303728696375</v>
      </c>
      <c r="Y42" s="1">
        <f t="shared" si="11"/>
        <v>0.27036762558927169</v>
      </c>
      <c r="Z42" s="1">
        <f t="shared" si="12"/>
        <v>7.5572629382486184E-2</v>
      </c>
    </row>
    <row r="43" spans="1:26" x14ac:dyDescent="0.25">
      <c r="A43">
        <v>40</v>
      </c>
      <c r="C43">
        <v>1.3479074860771392E-2</v>
      </c>
      <c r="D43">
        <v>7.6653942933875042E-4</v>
      </c>
      <c r="E43">
        <v>0</v>
      </c>
      <c r="F43">
        <v>0</v>
      </c>
      <c r="G43">
        <v>1.3076506469382925E-3</v>
      </c>
      <c r="H43">
        <v>3.2508415087443218E-3</v>
      </c>
      <c r="I43">
        <v>0</v>
      </c>
      <c r="J43">
        <v>1.2068460564206712E-3</v>
      </c>
      <c r="L43" s="1">
        <f t="shared" si="1"/>
        <v>0.94619119865747647</v>
      </c>
      <c r="M43" s="2">
        <f t="shared" si="2"/>
        <v>5.3808801342523527E-2</v>
      </c>
      <c r="N43">
        <f t="shared" si="3"/>
        <v>1.4245614290110143E-2</v>
      </c>
      <c r="O43">
        <f t="shared" si="4"/>
        <v>1.3076506469382925E-3</v>
      </c>
      <c r="P43">
        <f t="shared" si="5"/>
        <v>3.2508415087443218E-3</v>
      </c>
      <c r="Q43">
        <f t="shared" si="6"/>
        <v>1.2068460564206712E-3</v>
      </c>
      <c r="S43">
        <f t="shared" si="7"/>
        <v>2.0010952502213429E-2</v>
      </c>
      <c r="T43" s="3">
        <f t="shared" si="8"/>
        <v>5.5775111753015402E-2</v>
      </c>
      <c r="W43" s="1">
        <f t="shared" si="9"/>
        <v>0.71189086519167055</v>
      </c>
      <c r="X43" s="1">
        <f t="shared" si="10"/>
        <v>6.5346746827451216E-2</v>
      </c>
      <c r="Y43" s="1">
        <f t="shared" si="11"/>
        <v>0.16245311203375967</v>
      </c>
      <c r="Z43" s="1">
        <f t="shared" si="12"/>
        <v>6.0309275947118504E-2</v>
      </c>
    </row>
    <row r="44" spans="1:26" x14ac:dyDescent="0.25">
      <c r="A44">
        <v>41</v>
      </c>
      <c r="C44">
        <v>4.8062327825538528E-2</v>
      </c>
      <c r="D44">
        <v>1.9780173832836884E-2</v>
      </c>
      <c r="E44">
        <v>3.2351795400348115E-3</v>
      </c>
      <c r="F44">
        <v>1.5231007806073157E-2</v>
      </c>
      <c r="G44">
        <v>0.14130380343955495</v>
      </c>
      <c r="H44">
        <v>2.0556146340289499E-2</v>
      </c>
      <c r="I44">
        <v>7.6841170190663187E-3</v>
      </c>
      <c r="J44">
        <v>0</v>
      </c>
      <c r="L44" s="1">
        <f t="shared" si="1"/>
        <v>0.70843979291269332</v>
      </c>
      <c r="M44" s="2">
        <f t="shared" si="2"/>
        <v>0.29156020708730668</v>
      </c>
      <c r="N44">
        <f t="shared" si="3"/>
        <v>6.7842501658375409E-2</v>
      </c>
      <c r="O44">
        <f t="shared" si="4"/>
        <v>0.14130380343955495</v>
      </c>
      <c r="P44">
        <f t="shared" si="5"/>
        <v>2.8240263359355817E-2</v>
      </c>
      <c r="Q44">
        <f t="shared" si="6"/>
        <v>1.8466187346107971E-2</v>
      </c>
      <c r="S44">
        <f t="shared" si="7"/>
        <v>0.25585275580339417</v>
      </c>
      <c r="T44" s="3">
        <f t="shared" si="8"/>
        <v>0.71312027979042125</v>
      </c>
      <c r="W44" s="1">
        <f t="shared" si="9"/>
        <v>0.26516228619600196</v>
      </c>
      <c r="X44" s="1">
        <f t="shared" si="10"/>
        <v>0.5522856417780293</v>
      </c>
      <c r="Y44" s="1">
        <f t="shared" si="11"/>
        <v>0.110377014586689</v>
      </c>
      <c r="Z44" s="1">
        <f t="shared" si="12"/>
        <v>7.2175057439279669E-2</v>
      </c>
    </row>
    <row r="45" spans="1:26" x14ac:dyDescent="0.25">
      <c r="A45">
        <v>42</v>
      </c>
      <c r="C45">
        <v>3.3294572741265099E-2</v>
      </c>
      <c r="D45">
        <v>9.5485571743572188E-3</v>
      </c>
      <c r="E45">
        <v>1.0171242354627942E-2</v>
      </c>
      <c r="F45">
        <v>1.3079889062608296E-2</v>
      </c>
      <c r="G45">
        <v>4.5111699627855981E-2</v>
      </c>
      <c r="H45">
        <v>1.528487021582552E-2</v>
      </c>
      <c r="I45">
        <v>9.1352483243940796E-5</v>
      </c>
      <c r="J45">
        <v>0</v>
      </c>
      <c r="L45" s="1">
        <f t="shared" si="1"/>
        <v>0.77712746026812962</v>
      </c>
      <c r="M45" s="2">
        <f t="shared" si="2"/>
        <v>0.22287253973187038</v>
      </c>
      <c r="N45">
        <f t="shared" si="3"/>
        <v>4.2843129915622322E-2</v>
      </c>
      <c r="O45">
        <f t="shared" si="4"/>
        <v>4.5111699627855981E-2</v>
      </c>
      <c r="P45">
        <f t="shared" si="5"/>
        <v>1.537622269906946E-2</v>
      </c>
      <c r="Q45">
        <f t="shared" si="6"/>
        <v>2.325113141723624E-2</v>
      </c>
      <c r="S45">
        <f t="shared" si="7"/>
        <v>0.12658218365978402</v>
      </c>
      <c r="T45" s="3">
        <f t="shared" si="8"/>
        <v>0.35281356241209638</v>
      </c>
      <c r="W45" s="1">
        <f t="shared" si="9"/>
        <v>0.33846097987037538</v>
      </c>
      <c r="X45" s="1">
        <f t="shared" si="10"/>
        <v>0.35638269402195705</v>
      </c>
      <c r="Y45" s="1">
        <f t="shared" si="11"/>
        <v>0.1214722503160181</v>
      </c>
      <c r="Z45" s="1">
        <f t="shared" si="12"/>
        <v>0.1836840757916493</v>
      </c>
    </row>
    <row r="46" spans="1:26" x14ac:dyDescent="0.25">
      <c r="A46">
        <v>43</v>
      </c>
      <c r="C46">
        <v>0.12432459142359899</v>
      </c>
      <c r="D46">
        <v>4.111636284604904E-2</v>
      </c>
      <c r="E46">
        <v>1.5480224646112208E-2</v>
      </c>
      <c r="F46">
        <v>5.3352798557162046E-2</v>
      </c>
      <c r="G46">
        <v>0.17125686298441523</v>
      </c>
      <c r="H46">
        <v>3.4845998854372479E-2</v>
      </c>
      <c r="I46">
        <v>7.7421365067883129E-3</v>
      </c>
      <c r="J46">
        <v>0</v>
      </c>
      <c r="L46" s="1">
        <f t="shared" si="1"/>
        <v>0.75147409522895692</v>
      </c>
      <c r="M46" s="2">
        <f t="shared" si="2"/>
        <v>0.24852590477104308</v>
      </c>
      <c r="N46">
        <f t="shared" si="3"/>
        <v>0.16544095426964803</v>
      </c>
      <c r="O46">
        <f t="shared" si="4"/>
        <v>0.17125686298441523</v>
      </c>
      <c r="P46">
        <f t="shared" si="5"/>
        <v>4.2588135361160795E-2</v>
      </c>
      <c r="Q46">
        <f t="shared" si="6"/>
        <v>6.8833023203274252E-2</v>
      </c>
      <c r="S46">
        <f t="shared" si="7"/>
        <v>0.44811897581849824</v>
      </c>
      <c r="T46" s="3">
        <f t="shared" si="8"/>
        <v>1.2490103083378441</v>
      </c>
      <c r="W46" s="1">
        <f t="shared" si="9"/>
        <v>0.36918979823933329</v>
      </c>
      <c r="X46" s="1">
        <f t="shared" si="10"/>
        <v>0.38216829062329072</v>
      </c>
      <c r="Y46" s="1">
        <f t="shared" si="11"/>
        <v>9.5037562922598212E-2</v>
      </c>
      <c r="Z46" s="1">
        <f t="shared" si="12"/>
        <v>0.15360434821477792</v>
      </c>
    </row>
    <row r="47" spans="1:26" x14ac:dyDescent="0.25">
      <c r="A47">
        <v>44</v>
      </c>
      <c r="C47">
        <v>8.2863927827136474E-3</v>
      </c>
      <c r="D47">
        <v>5.4093077866524023E-2</v>
      </c>
      <c r="E47">
        <v>0</v>
      </c>
      <c r="F47">
        <v>3.0913480195942589E-2</v>
      </c>
      <c r="G47">
        <v>6.6281167215995924E-3</v>
      </c>
      <c r="H47">
        <v>4.6979537960559412E-3</v>
      </c>
      <c r="I47">
        <v>0</v>
      </c>
      <c r="J47">
        <v>0</v>
      </c>
      <c r="L47" s="1">
        <f t="shared" si="1"/>
        <v>0.13283845945580999</v>
      </c>
      <c r="M47" s="2">
        <f t="shared" si="2"/>
        <v>0.86716154054419003</v>
      </c>
      <c r="N47">
        <f t="shared" si="3"/>
        <v>6.237947064923767E-2</v>
      </c>
      <c r="O47">
        <f t="shared" si="4"/>
        <v>6.6281167215995924E-3</v>
      </c>
      <c r="P47">
        <f t="shared" si="5"/>
        <v>4.6979537960559412E-3</v>
      </c>
      <c r="Q47">
        <f t="shared" si="6"/>
        <v>3.0913480195942589E-2</v>
      </c>
      <c r="S47">
        <f t="shared" si="7"/>
        <v>0.1046190213628358</v>
      </c>
      <c r="T47" s="3">
        <f t="shared" si="8"/>
        <v>0.29159719445427912</v>
      </c>
      <c r="W47" s="1">
        <f t="shared" si="9"/>
        <v>0.59625362421328254</v>
      </c>
      <c r="X47" s="1">
        <f t="shared" si="10"/>
        <v>6.3354795669634534E-2</v>
      </c>
      <c r="Y47" s="1">
        <f t="shared" si="11"/>
        <v>4.4905350239921218E-2</v>
      </c>
      <c r="Z47" s="1">
        <f t="shared" si="12"/>
        <v>0.29548622987716172</v>
      </c>
    </row>
    <row r="48" spans="1:26" x14ac:dyDescent="0.25">
      <c r="A48">
        <v>45</v>
      </c>
      <c r="C48">
        <v>0.11019379277108045</v>
      </c>
      <c r="D48">
        <v>2.9467356162211186E-2</v>
      </c>
      <c r="E48">
        <v>3.4983467470786053E-2</v>
      </c>
      <c r="F48">
        <v>2.9974689071873745E-2</v>
      </c>
      <c r="G48">
        <v>0.26988077431881213</v>
      </c>
      <c r="H48">
        <v>2.4924646066118324E-2</v>
      </c>
      <c r="I48">
        <v>0</v>
      </c>
      <c r="J48">
        <v>0</v>
      </c>
      <c r="L48" s="1">
        <f t="shared" si="1"/>
        <v>0.78900820745584666</v>
      </c>
      <c r="M48" s="2">
        <f t="shared" si="2"/>
        <v>0.21099179254415334</v>
      </c>
      <c r="N48">
        <f t="shared" si="3"/>
        <v>0.13966114893329162</v>
      </c>
      <c r="O48">
        <f t="shared" si="4"/>
        <v>0.26988077431881213</v>
      </c>
      <c r="P48">
        <f t="shared" si="5"/>
        <v>2.4924646066118324E-2</v>
      </c>
      <c r="Q48">
        <f t="shared" si="6"/>
        <v>6.4958156542659795E-2</v>
      </c>
      <c r="S48">
        <f t="shared" si="7"/>
        <v>0.49942472586088188</v>
      </c>
      <c r="T48" s="3">
        <f t="shared" si="8"/>
        <v>1.3920111945710056</v>
      </c>
      <c r="W48" s="1">
        <f t="shared" si="9"/>
        <v>0.27964404183743835</v>
      </c>
      <c r="X48" s="1">
        <f t="shared" si="10"/>
        <v>0.54038328569657013</v>
      </c>
      <c r="Y48" s="1">
        <f t="shared" si="11"/>
        <v>4.9906712214046953E-2</v>
      </c>
      <c r="Z48" s="1">
        <f t="shared" si="12"/>
        <v>0.13006596025194461</v>
      </c>
    </row>
    <row r="49" spans="1:26" x14ac:dyDescent="0.25">
      <c r="A49">
        <v>46</v>
      </c>
      <c r="C49">
        <v>5.9988729286947498E-2</v>
      </c>
      <c r="D49">
        <v>2.2982924462484917E-2</v>
      </c>
      <c r="E49">
        <v>2.0016505138494914E-3</v>
      </c>
      <c r="F49">
        <v>2.4260593729198709E-2</v>
      </c>
      <c r="G49">
        <v>6.917296299163031E-2</v>
      </c>
      <c r="H49">
        <v>7.572181258172269E-3</v>
      </c>
      <c r="I49">
        <v>0</v>
      </c>
      <c r="J49">
        <v>0</v>
      </c>
      <c r="L49" s="1">
        <f t="shared" si="1"/>
        <v>0.72300269521092753</v>
      </c>
      <c r="M49" s="2">
        <f t="shared" si="2"/>
        <v>0.27699730478907247</v>
      </c>
      <c r="N49">
        <f t="shared" si="3"/>
        <v>8.2971653749432411E-2</v>
      </c>
      <c r="O49">
        <f t="shared" si="4"/>
        <v>6.917296299163031E-2</v>
      </c>
      <c r="P49">
        <f t="shared" si="5"/>
        <v>7.572181258172269E-3</v>
      </c>
      <c r="Q49">
        <f t="shared" si="6"/>
        <v>2.62622442430482E-2</v>
      </c>
      <c r="S49">
        <f t="shared" si="7"/>
        <v>0.1859790422422832</v>
      </c>
      <c r="T49" s="3">
        <f t="shared" si="8"/>
        <v>0.51836622287893352</v>
      </c>
      <c r="W49" s="1">
        <f t="shared" si="9"/>
        <v>0.44613442863815556</v>
      </c>
      <c r="X49" s="1">
        <f t="shared" si="10"/>
        <v>0.37193955919783478</v>
      </c>
      <c r="Y49" s="1">
        <f t="shared" si="11"/>
        <v>4.0715239560743896E-2</v>
      </c>
      <c r="Z49" s="1">
        <f t="shared" si="12"/>
        <v>0.1412107726032657</v>
      </c>
    </row>
    <row r="50" spans="1:26" x14ac:dyDescent="0.25">
      <c r="A50">
        <v>47</v>
      </c>
      <c r="C50">
        <v>3.1117174341935186E-2</v>
      </c>
      <c r="D50">
        <v>4.7459966578883225E-3</v>
      </c>
      <c r="E50">
        <v>0</v>
      </c>
      <c r="F50">
        <v>1.6557610482513078E-2</v>
      </c>
      <c r="G50">
        <v>3.0913382805630229E-2</v>
      </c>
      <c r="H50">
        <v>1.1034747107877548E-2</v>
      </c>
      <c r="I50">
        <v>0</v>
      </c>
      <c r="J50">
        <v>0</v>
      </c>
      <c r="L50" s="1">
        <f t="shared" si="1"/>
        <v>0.86766377524420024</v>
      </c>
      <c r="M50" s="2">
        <f t="shared" si="2"/>
        <v>0.13233622475579976</v>
      </c>
      <c r="N50">
        <f t="shared" si="3"/>
        <v>3.5863170999823508E-2</v>
      </c>
      <c r="O50">
        <f t="shared" si="4"/>
        <v>3.0913382805630229E-2</v>
      </c>
      <c r="P50">
        <f t="shared" si="5"/>
        <v>1.1034747107877548E-2</v>
      </c>
      <c r="Q50">
        <f t="shared" si="6"/>
        <v>1.6557610482513078E-2</v>
      </c>
      <c r="S50">
        <f t="shared" si="7"/>
        <v>9.4368911395844357E-2</v>
      </c>
      <c r="T50" s="3">
        <f t="shared" si="8"/>
        <v>0.26302778833398532</v>
      </c>
      <c r="W50" s="1">
        <f t="shared" si="9"/>
        <v>0.38003162767651449</v>
      </c>
      <c r="X50" s="1">
        <f t="shared" si="10"/>
        <v>0.3275801569434183</v>
      </c>
      <c r="Y50" s="1">
        <f t="shared" si="11"/>
        <v>0.11693201653657601</v>
      </c>
      <c r="Z50" s="1">
        <f t="shared" si="12"/>
        <v>0.17545619884349128</v>
      </c>
    </row>
    <row r="51" spans="1:26" x14ac:dyDescent="0.25">
      <c r="A51">
        <v>48</v>
      </c>
      <c r="C51">
        <v>8.6858677864119702E-3</v>
      </c>
      <c r="D51">
        <v>6.566193568926449E-3</v>
      </c>
      <c r="E51">
        <v>0</v>
      </c>
      <c r="F51">
        <v>7.663086226310724E-3</v>
      </c>
      <c r="G51">
        <v>1.3396854527566369E-2</v>
      </c>
      <c r="H51">
        <v>9.1835761365565705E-3</v>
      </c>
      <c r="I51">
        <v>0</v>
      </c>
      <c r="J51">
        <v>0</v>
      </c>
      <c r="L51" s="1">
        <f t="shared" si="1"/>
        <v>0.56948812255936831</v>
      </c>
      <c r="M51" s="2">
        <f t="shared" si="2"/>
        <v>0.43051187744063169</v>
      </c>
      <c r="N51">
        <f t="shared" si="3"/>
        <v>1.5252061355338419E-2</v>
      </c>
      <c r="O51">
        <f t="shared" si="4"/>
        <v>1.3396854527566369E-2</v>
      </c>
      <c r="P51">
        <f t="shared" si="5"/>
        <v>9.1835761365565705E-3</v>
      </c>
      <c r="Q51">
        <f t="shared" si="6"/>
        <v>7.663086226310724E-3</v>
      </c>
      <c r="S51">
        <f t="shared" si="7"/>
        <v>4.5495578245772085E-2</v>
      </c>
      <c r="T51" s="3">
        <f t="shared" si="8"/>
        <v>0.12680660556489337</v>
      </c>
      <c r="W51" s="1">
        <f t="shared" si="9"/>
        <v>0.33524271903843306</v>
      </c>
      <c r="X51" s="1">
        <f t="shared" si="10"/>
        <v>0.29446497976561803</v>
      </c>
      <c r="Y51" s="1">
        <f t="shared" si="11"/>
        <v>0.20185645486130296</v>
      </c>
      <c r="Z51" s="1">
        <f t="shared" si="12"/>
        <v>0.16843584633464587</v>
      </c>
    </row>
    <row r="52" spans="1:26" x14ac:dyDescent="0.25">
      <c r="A52">
        <v>49</v>
      </c>
      <c r="C52">
        <v>1.370025407576525E-3</v>
      </c>
      <c r="D52">
        <v>3.2414291702729761E-2</v>
      </c>
      <c r="E52">
        <v>2.1893336568164093E-3</v>
      </c>
      <c r="F52">
        <v>2.392569809395962E-2</v>
      </c>
      <c r="G52">
        <v>4.3481225282261914E-3</v>
      </c>
      <c r="H52">
        <v>3.1053017381396375E-3</v>
      </c>
      <c r="I52">
        <v>1.1925287856819101E-3</v>
      </c>
      <c r="J52">
        <v>7.1975373086697117E-4</v>
      </c>
      <c r="L52" s="1">
        <f t="shared" si="1"/>
        <v>4.0552111889767435E-2</v>
      </c>
      <c r="M52" s="2">
        <f t="shared" si="2"/>
        <v>0.95944788811023252</v>
      </c>
      <c r="N52">
        <f t="shared" si="3"/>
        <v>3.3784317110306286E-2</v>
      </c>
      <c r="O52">
        <f t="shared" si="4"/>
        <v>4.3481225282261914E-3</v>
      </c>
      <c r="P52">
        <f t="shared" si="5"/>
        <v>4.2978305238215476E-3</v>
      </c>
      <c r="Q52">
        <f t="shared" si="6"/>
        <v>2.6834785481643E-2</v>
      </c>
      <c r="S52">
        <f t="shared" si="7"/>
        <v>6.9265055643997028E-2</v>
      </c>
      <c r="T52" s="3">
        <f t="shared" si="8"/>
        <v>0.19305758777326792</v>
      </c>
      <c r="W52" s="1">
        <f t="shared" si="9"/>
        <v>0.48775413224163433</v>
      </c>
      <c r="X52" s="1">
        <f t="shared" si="10"/>
        <v>6.2775125029485609E-2</v>
      </c>
      <c r="Y52" s="1">
        <f t="shared" si="11"/>
        <v>6.2049044555904091E-2</v>
      </c>
      <c r="Z52" s="1">
        <f t="shared" si="12"/>
        <v>0.38742169817297595</v>
      </c>
    </row>
    <row r="53" spans="1:26" x14ac:dyDescent="0.25">
      <c r="A53">
        <v>50</v>
      </c>
      <c r="C53">
        <v>1.4069338817193244E-2</v>
      </c>
      <c r="D53">
        <v>1.6144178365825809E-3</v>
      </c>
      <c r="E53">
        <v>1.4808663540493939E-3</v>
      </c>
      <c r="F53">
        <v>3.2890610452809693E-3</v>
      </c>
      <c r="G53">
        <v>2.6258698963167827E-2</v>
      </c>
      <c r="H53">
        <v>1.043825626687641E-3</v>
      </c>
      <c r="I53">
        <v>3.2727501698287358E-3</v>
      </c>
      <c r="J53">
        <v>0</v>
      </c>
      <c r="L53" s="1">
        <f t="shared" si="1"/>
        <v>0.89706434037320304</v>
      </c>
      <c r="M53" s="2">
        <f t="shared" si="2"/>
        <v>0.10293565962679696</v>
      </c>
      <c r="N53">
        <f t="shared" si="3"/>
        <v>1.5683756653775825E-2</v>
      </c>
      <c r="O53">
        <f t="shared" si="4"/>
        <v>2.6258698963167827E-2</v>
      </c>
      <c r="P53">
        <f t="shared" si="5"/>
        <v>4.3165757965163767E-3</v>
      </c>
      <c r="Q53">
        <f t="shared" si="6"/>
        <v>4.7699273993303632E-3</v>
      </c>
      <c r="S53">
        <f t="shared" si="7"/>
        <v>5.102895881279039E-2</v>
      </c>
      <c r="T53" s="3">
        <f t="shared" si="8"/>
        <v>0.1422294056271729</v>
      </c>
      <c r="W53" s="1">
        <f t="shared" si="9"/>
        <v>0.30735012076798829</v>
      </c>
      <c r="X53" s="1">
        <f t="shared" si="10"/>
        <v>0.51458425909693639</v>
      </c>
      <c r="Y53" s="1">
        <f t="shared" si="11"/>
        <v>8.4590708823838054E-2</v>
      </c>
      <c r="Z53" s="1">
        <f t="shared" si="12"/>
        <v>9.3474911311237308E-2</v>
      </c>
    </row>
    <row r="54" spans="1:26" x14ac:dyDescent="0.25">
      <c r="A54" t="s">
        <v>1</v>
      </c>
      <c r="C54">
        <v>2.001020931665284E-2</v>
      </c>
      <c r="D54">
        <v>0.15528852207072952</v>
      </c>
      <c r="E54">
        <v>0</v>
      </c>
      <c r="F54">
        <v>0.13247552296282711</v>
      </c>
      <c r="G54">
        <v>2.3755401010957855E-2</v>
      </c>
      <c r="H54">
        <v>2.4255475949777859E-2</v>
      </c>
      <c r="I54">
        <v>2.1327124600165823E-3</v>
      </c>
      <c r="J54">
        <v>8.6140154595263849E-4</v>
      </c>
      <c r="L54" s="1">
        <f t="shared" si="1"/>
        <v>0.11414919639340376</v>
      </c>
      <c r="M54" s="2">
        <f t="shared" si="2"/>
        <v>0.88585080360659618</v>
      </c>
      <c r="N54">
        <f t="shared" si="3"/>
        <v>0.17529873138738236</v>
      </c>
      <c r="O54">
        <f t="shared" si="4"/>
        <v>2.3755401010957855E-2</v>
      </c>
      <c r="P54">
        <f t="shared" si="5"/>
        <v>2.6388188409794441E-2</v>
      </c>
      <c r="Q54">
        <f>SUM(E54,F54,J54)</f>
        <v>0.13333692450877974</v>
      </c>
      <c r="S54">
        <f t="shared" si="7"/>
        <v>0.35877924531691441</v>
      </c>
      <c r="T54" s="3">
        <f t="shared" si="8"/>
        <v>1</v>
      </c>
      <c r="W54" s="1">
        <f t="shared" si="9"/>
        <v>0.48859774826868452</v>
      </c>
      <c r="X54" s="1">
        <f t="shared" si="10"/>
        <v>6.6211748090317754E-2</v>
      </c>
      <c r="Y54" s="1">
        <f t="shared" si="11"/>
        <v>7.3549930087191656E-2</v>
      </c>
      <c r="Z54" s="1">
        <f t="shared" si="12"/>
        <v>0.37164057355380598</v>
      </c>
    </row>
    <row r="55" spans="1:26" x14ac:dyDescent="0.25">
      <c r="L55" s="1"/>
    </row>
    <row r="56" spans="1:26" x14ac:dyDescent="0.25">
      <c r="L56" s="1"/>
    </row>
    <row r="57" spans="1:26" x14ac:dyDescent="0.25">
      <c r="L57" s="1"/>
    </row>
  </sheetData>
  <mergeCells count="3">
    <mergeCell ref="B1:K1"/>
    <mergeCell ref="L1:M1"/>
    <mergeCell ref="W1:Z1"/>
  </mergeCells>
  <conditionalFormatting sqref="L4:L57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4:W54">
    <cfRule type="colorScale" priority="2">
      <colorScale>
        <cfvo type="min"/>
        <cfvo type="max"/>
        <color theme="0"/>
        <color theme="1" tint="0.499984740745262"/>
      </colorScale>
    </cfRule>
  </conditionalFormatting>
  <conditionalFormatting sqref="X4:X54">
    <cfRule type="colorScale" priority="1">
      <colorScale>
        <cfvo type="min"/>
        <cfvo type="max"/>
        <color theme="0"/>
        <color theme="7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C323-A6F8-4513-94AD-41B4017B5186}">
  <dimension ref="A1:H21"/>
  <sheetViews>
    <sheetView workbookViewId="0">
      <selection activeCell="K30" sqref="K30"/>
    </sheetView>
  </sheetViews>
  <sheetFormatPr defaultRowHeight="15" x14ac:dyDescent="0.25"/>
  <cols>
    <col min="1" max="1" width="11.7109375" bestFit="1" customWidth="1"/>
    <col min="4" max="4" width="15" bestFit="1" customWidth="1"/>
  </cols>
  <sheetData>
    <row r="1" spans="1:8" x14ac:dyDescent="0.25">
      <c r="A1" t="s">
        <v>0</v>
      </c>
      <c r="B1" t="s">
        <v>11</v>
      </c>
      <c r="C1" t="s">
        <v>12</v>
      </c>
      <c r="D1" t="s">
        <v>15</v>
      </c>
      <c r="E1" t="s">
        <v>17</v>
      </c>
    </row>
    <row r="3" spans="1:8" x14ac:dyDescent="0.25">
      <c r="A3">
        <v>1</v>
      </c>
      <c r="B3">
        <v>0.45635764875181256</v>
      </c>
      <c r="C3">
        <v>0.54364235124818738</v>
      </c>
      <c r="D3">
        <v>0.56467610631719456</v>
      </c>
      <c r="E3">
        <v>0.22477918102496527</v>
      </c>
    </row>
    <row r="4" spans="1:8" x14ac:dyDescent="0.25">
      <c r="A4">
        <v>2</v>
      </c>
      <c r="B4">
        <v>0.16985302450816531</v>
      </c>
      <c r="C4">
        <v>0.83014697549183469</v>
      </c>
      <c r="D4">
        <v>1.7442385243815872</v>
      </c>
      <c r="E4">
        <v>0.70760764673177889</v>
      </c>
    </row>
    <row r="5" spans="1:8" x14ac:dyDescent="0.25">
      <c r="A5">
        <v>3</v>
      </c>
      <c r="B5">
        <v>0.81361810161774595</v>
      </c>
      <c r="C5">
        <v>0.18638189838225405</v>
      </c>
      <c r="D5">
        <v>0.50334313182352031</v>
      </c>
      <c r="E5">
        <v>0.52054522020940908</v>
      </c>
    </row>
    <row r="6" spans="1:8" x14ac:dyDescent="0.25">
      <c r="A6">
        <v>5</v>
      </c>
      <c r="B6">
        <v>0.13484551346294568</v>
      </c>
      <c r="C6">
        <v>0.86515448653705429</v>
      </c>
      <c r="D6">
        <v>0.9169294714002979</v>
      </c>
      <c r="E6">
        <v>0.5545953909895569</v>
      </c>
    </row>
    <row r="7" spans="1:8" x14ac:dyDescent="0.25">
      <c r="A7">
        <v>6</v>
      </c>
      <c r="B7">
        <v>9.9431545663729706E-2</v>
      </c>
      <c r="C7">
        <v>0.90056845433627031</v>
      </c>
      <c r="D7">
        <v>0.9703828570051688</v>
      </c>
      <c r="E7">
        <v>0.55317686282644107</v>
      </c>
      <c r="H7" t="s">
        <v>18</v>
      </c>
    </row>
    <row r="8" spans="1:8" x14ac:dyDescent="0.25">
      <c r="A8">
        <v>11</v>
      </c>
      <c r="B8">
        <v>0.9246441078665163</v>
      </c>
      <c r="C8">
        <v>7.5355892133483704E-2</v>
      </c>
      <c r="D8">
        <v>1.1196192082539067</v>
      </c>
      <c r="E8">
        <v>0.21232602098595765</v>
      </c>
      <c r="H8" t="s">
        <v>19</v>
      </c>
    </row>
    <row r="9" spans="1:8" x14ac:dyDescent="0.25">
      <c r="A9">
        <v>17</v>
      </c>
      <c r="B9">
        <v>0.44704469386230916</v>
      </c>
      <c r="C9">
        <v>0.55295530613769084</v>
      </c>
      <c r="D9">
        <v>0.75676901688486264</v>
      </c>
      <c r="E9">
        <v>0.33672780912617944</v>
      </c>
    </row>
    <row r="10" spans="1:8" x14ac:dyDescent="0.25">
      <c r="A10">
        <v>18</v>
      </c>
      <c r="B10">
        <v>0.79699331421062447</v>
      </c>
      <c r="C10">
        <v>0.20300668578937553</v>
      </c>
      <c r="D10">
        <v>0.62689724543892567</v>
      </c>
      <c r="E10">
        <v>0.3823661548714104</v>
      </c>
    </row>
    <row r="11" spans="1:8" x14ac:dyDescent="0.25">
      <c r="A11">
        <v>25</v>
      </c>
      <c r="B11">
        <v>0.31117593730610255</v>
      </c>
      <c r="C11">
        <v>0.68882406269389751</v>
      </c>
      <c r="D11">
        <v>0.96500099074271595</v>
      </c>
      <c r="E11">
        <v>0.45809955785277884</v>
      </c>
    </row>
    <row r="12" spans="1:8" x14ac:dyDescent="0.25">
      <c r="A12">
        <v>26</v>
      </c>
      <c r="B12">
        <v>0.71850685492695465</v>
      </c>
      <c r="C12">
        <v>0.28149314507304535</v>
      </c>
      <c r="D12">
        <v>1.1069171919521552</v>
      </c>
      <c r="E12">
        <v>0.27244637877955669</v>
      </c>
    </row>
    <row r="13" spans="1:8" x14ac:dyDescent="0.25">
      <c r="A13">
        <v>28</v>
      </c>
      <c r="B13">
        <v>0.93574107797274886</v>
      </c>
      <c r="C13">
        <v>6.4258922027251142E-2</v>
      </c>
      <c r="D13">
        <v>0.92697144937467046</v>
      </c>
      <c r="E13">
        <v>0.37269587240622803</v>
      </c>
    </row>
    <row r="14" spans="1:8" x14ac:dyDescent="0.25">
      <c r="A14">
        <v>29</v>
      </c>
      <c r="B14">
        <v>0.15283567252603455</v>
      </c>
      <c r="C14">
        <v>0.84716432747396542</v>
      </c>
      <c r="D14">
        <v>2.1969575742864569</v>
      </c>
      <c r="E14">
        <v>0.52162132230615776</v>
      </c>
    </row>
    <row r="15" spans="1:8" x14ac:dyDescent="0.25">
      <c r="A15">
        <v>34</v>
      </c>
      <c r="B15">
        <v>0.94166338827867246</v>
      </c>
      <c r="C15">
        <v>5.8336611721327536E-2</v>
      </c>
      <c r="D15">
        <v>0.59177215704401553</v>
      </c>
      <c r="E15">
        <v>0.2121787758479354</v>
      </c>
    </row>
    <row r="16" spans="1:8" x14ac:dyDescent="0.25">
      <c r="A16">
        <v>35</v>
      </c>
      <c r="B16">
        <v>0.16749422478675427</v>
      </c>
      <c r="C16">
        <v>0.83250577521324576</v>
      </c>
      <c r="D16">
        <v>0.79803157354175591</v>
      </c>
      <c r="E16">
        <v>0.45768072878947419</v>
      </c>
    </row>
    <row r="17" spans="1:5" x14ac:dyDescent="0.25">
      <c r="A17">
        <v>41</v>
      </c>
      <c r="B17">
        <v>0.70843979291269332</v>
      </c>
      <c r="C17">
        <v>0.29156020708730668</v>
      </c>
      <c r="D17">
        <v>0.71312027979042125</v>
      </c>
      <c r="E17">
        <v>0.26516228619600196</v>
      </c>
    </row>
    <row r="18" spans="1:5" x14ac:dyDescent="0.25">
      <c r="A18">
        <v>43</v>
      </c>
      <c r="B18">
        <v>0.75147409522895692</v>
      </c>
      <c r="C18">
        <v>0.24852590477104308</v>
      </c>
      <c r="D18">
        <v>1.2490103083378441</v>
      </c>
      <c r="E18">
        <v>0.36918979823933329</v>
      </c>
    </row>
    <row r="19" spans="1:5" x14ac:dyDescent="0.25">
      <c r="A19">
        <v>45</v>
      </c>
      <c r="B19">
        <v>0.78900820745584666</v>
      </c>
      <c r="C19">
        <v>0.21099179254415334</v>
      </c>
      <c r="D19">
        <v>1.3920111945710056</v>
      </c>
      <c r="E19">
        <v>0.27964404183743835</v>
      </c>
    </row>
    <row r="20" spans="1:5" x14ac:dyDescent="0.25">
      <c r="A20">
        <v>46</v>
      </c>
      <c r="B20">
        <v>0.72300269521092753</v>
      </c>
      <c r="C20">
        <v>0.27699730478907247</v>
      </c>
      <c r="D20">
        <v>0.51836622287893352</v>
      </c>
      <c r="E20">
        <v>0.44613442863815556</v>
      </c>
    </row>
    <row r="21" spans="1:5" x14ac:dyDescent="0.25">
      <c r="A21" t="s">
        <v>1</v>
      </c>
      <c r="B21">
        <v>0.11414919639340376</v>
      </c>
      <c r="C21">
        <v>0.88585080360659618</v>
      </c>
      <c r="D21">
        <v>1</v>
      </c>
      <c r="E21">
        <v>0.48859774826868452</v>
      </c>
    </row>
  </sheetData>
  <conditionalFormatting sqref="D3:D21">
    <cfRule type="colorScale" priority="16">
      <colorScale>
        <cfvo type="min"/>
        <cfvo type="max"/>
        <color theme="0"/>
        <color theme="1" tint="0.499984740745262"/>
      </colorScale>
    </cfRule>
  </conditionalFormatting>
  <conditionalFormatting sqref="B3:B21">
    <cfRule type="colorScale" priority="2">
      <colorScale>
        <cfvo type="min"/>
        <cfvo type="max"/>
        <color theme="0"/>
        <color theme="5"/>
      </colorScale>
    </cfRule>
  </conditionalFormatting>
  <conditionalFormatting sqref="C3:C21">
    <cfRule type="colorScale" priority="1">
      <colorScale>
        <cfvo type="min"/>
        <cfvo type="max"/>
        <color theme="0"/>
        <color theme="4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8E7A-0908-4B78-B982-5C35C235C28C}">
  <dimension ref="A1:E53"/>
  <sheetViews>
    <sheetView workbookViewId="0">
      <selection activeCell="E53" sqref="E53"/>
    </sheetView>
  </sheetViews>
  <sheetFormatPr defaultRowHeight="15" x14ac:dyDescent="0.25"/>
  <sheetData>
    <row r="1" spans="1:5" x14ac:dyDescent="0.25">
      <c r="A1" t="s">
        <v>0</v>
      </c>
      <c r="B1" t="s">
        <v>11</v>
      </c>
      <c r="C1" t="s">
        <v>12</v>
      </c>
      <c r="D1" t="s">
        <v>15</v>
      </c>
      <c r="E1" t="s">
        <v>10</v>
      </c>
    </row>
    <row r="3" spans="1:5" x14ac:dyDescent="0.25">
      <c r="A3">
        <v>1</v>
      </c>
      <c r="B3">
        <v>0.45635764875181256</v>
      </c>
      <c r="C3">
        <v>0.54364235124818738</v>
      </c>
      <c r="D3">
        <v>0.56467610631719456</v>
      </c>
      <c r="E3">
        <v>0.22477918102496527</v>
      </c>
    </row>
    <row r="4" spans="1:5" x14ac:dyDescent="0.25">
      <c r="A4">
        <v>2</v>
      </c>
      <c r="B4">
        <v>0.16985302450816531</v>
      </c>
      <c r="C4">
        <v>0.83014697549183469</v>
      </c>
      <c r="D4">
        <v>1.7442385243815872</v>
      </c>
      <c r="E4">
        <v>0.70760764673177889</v>
      </c>
    </row>
    <row r="5" spans="1:5" x14ac:dyDescent="0.25">
      <c r="A5">
        <v>3</v>
      </c>
      <c r="B5">
        <v>0.81361810161774595</v>
      </c>
      <c r="C5">
        <v>0.18638189838225405</v>
      </c>
      <c r="D5">
        <v>0.50334313182352031</v>
      </c>
      <c r="E5">
        <v>0.52054522020940908</v>
      </c>
    </row>
    <row r="6" spans="1:5" x14ac:dyDescent="0.25">
      <c r="A6">
        <v>4</v>
      </c>
      <c r="B6">
        <v>0.66161118697764276</v>
      </c>
      <c r="C6">
        <v>0.33838881302235724</v>
      </c>
      <c r="D6">
        <v>0.39375765754273584</v>
      </c>
      <c r="E6">
        <v>0.37518238747325394</v>
      </c>
    </row>
    <row r="7" spans="1:5" x14ac:dyDescent="0.25">
      <c r="A7">
        <v>5</v>
      </c>
      <c r="B7">
        <v>0.13484551346294568</v>
      </c>
      <c r="C7">
        <v>0.86515448653705429</v>
      </c>
      <c r="D7">
        <v>0.9169294714002979</v>
      </c>
      <c r="E7">
        <v>0.5545953909895569</v>
      </c>
    </row>
    <row r="8" spans="1:5" x14ac:dyDescent="0.25">
      <c r="A8">
        <v>6</v>
      </c>
      <c r="B8">
        <v>9.9431545663729706E-2</v>
      </c>
      <c r="C8">
        <v>0.90056845433627031</v>
      </c>
      <c r="D8">
        <v>0.9703828570051688</v>
      </c>
      <c r="E8">
        <v>0.55317686282644107</v>
      </c>
    </row>
    <row r="9" spans="1:5" x14ac:dyDescent="0.25">
      <c r="A9">
        <v>7</v>
      </c>
      <c r="B9">
        <v>0.71018253516866259</v>
      </c>
      <c r="C9">
        <v>0.28981746483133741</v>
      </c>
      <c r="D9">
        <v>0.22318293844137452</v>
      </c>
      <c r="E9">
        <v>0.37890400800942237</v>
      </c>
    </row>
    <row r="10" spans="1:5" x14ac:dyDescent="0.25">
      <c r="A10">
        <v>8</v>
      </c>
      <c r="B10">
        <v>0.53899039184585407</v>
      </c>
      <c r="C10">
        <v>0.46100960815414593</v>
      </c>
      <c r="D10">
        <v>0.14074313231898727</v>
      </c>
      <c r="E10">
        <v>0.14399301922420962</v>
      </c>
    </row>
    <row r="11" spans="1:5" x14ac:dyDescent="0.25">
      <c r="A11">
        <v>9</v>
      </c>
      <c r="B11">
        <v>0.35322284519288455</v>
      </c>
      <c r="C11">
        <v>0.64677715480711551</v>
      </c>
      <c r="D11">
        <v>7.7649310272826719E-2</v>
      </c>
      <c r="E11">
        <v>0.28585209346840795</v>
      </c>
    </row>
    <row r="12" spans="1:5" x14ac:dyDescent="0.25">
      <c r="A12">
        <v>10</v>
      </c>
      <c r="B12">
        <v>0.83714679392189439</v>
      </c>
      <c r="C12">
        <v>0.16285320607810561</v>
      </c>
      <c r="D12">
        <v>0.18194628939776511</v>
      </c>
      <c r="E12">
        <v>0.28583439539307548</v>
      </c>
    </row>
    <row r="13" spans="1:5" x14ac:dyDescent="0.25">
      <c r="A13">
        <v>11</v>
      </c>
      <c r="B13">
        <v>0.9246441078665163</v>
      </c>
      <c r="C13">
        <v>7.5355892133483704E-2</v>
      </c>
      <c r="D13">
        <v>1.1196192082539067</v>
      </c>
      <c r="E13">
        <v>0.21232602098595765</v>
      </c>
    </row>
    <row r="14" spans="1:5" x14ac:dyDescent="0.25">
      <c r="A14">
        <v>12</v>
      </c>
      <c r="B14">
        <v>0.69925614091601773</v>
      </c>
      <c r="C14">
        <v>0.30074385908398227</v>
      </c>
      <c r="D14">
        <v>6.2686064779814671E-2</v>
      </c>
      <c r="E14">
        <v>0.84341947345636159</v>
      </c>
    </row>
    <row r="15" spans="1:5" x14ac:dyDescent="0.25">
      <c r="A15">
        <v>13</v>
      </c>
      <c r="B15">
        <v>0.36429405710030072</v>
      </c>
      <c r="C15">
        <v>0.63570594289969928</v>
      </c>
      <c r="D15">
        <v>0.12890544265454784</v>
      </c>
      <c r="E15">
        <v>0.34759049785825419</v>
      </c>
    </row>
    <row r="16" spans="1:5" x14ac:dyDescent="0.25">
      <c r="A16">
        <v>14</v>
      </c>
      <c r="B16">
        <v>0.98126462023341765</v>
      </c>
      <c r="C16">
        <v>1.873537976658235E-2</v>
      </c>
      <c r="D16">
        <v>0.22037208302656369</v>
      </c>
      <c r="E16">
        <v>0.25076923759967784</v>
      </c>
    </row>
    <row r="17" spans="1:5" x14ac:dyDescent="0.25">
      <c r="A17">
        <v>15</v>
      </c>
      <c r="B17">
        <v>0.96950233994903401</v>
      </c>
      <c r="C17">
        <v>3.0497660050965991E-2</v>
      </c>
      <c r="D17">
        <v>0.19626495293355423</v>
      </c>
      <c r="E17">
        <v>0.32565828969656868</v>
      </c>
    </row>
    <row r="18" spans="1:5" x14ac:dyDescent="0.25">
      <c r="A18">
        <v>16</v>
      </c>
      <c r="B18">
        <v>1</v>
      </c>
      <c r="C18">
        <v>0</v>
      </c>
      <c r="D18">
        <v>0.34548777691044308</v>
      </c>
      <c r="E18">
        <v>9.3840847423440357E-2</v>
      </c>
    </row>
    <row r="19" spans="1:5" x14ac:dyDescent="0.25">
      <c r="A19">
        <v>17</v>
      </c>
      <c r="B19">
        <v>0.44704469386230916</v>
      </c>
      <c r="C19">
        <v>0.55295530613769084</v>
      </c>
      <c r="D19">
        <v>0.75676901688486264</v>
      </c>
      <c r="E19">
        <v>0.33672780912617944</v>
      </c>
    </row>
    <row r="20" spans="1:5" x14ac:dyDescent="0.25">
      <c r="A20">
        <v>18</v>
      </c>
      <c r="B20">
        <v>0.79699331421062447</v>
      </c>
      <c r="C20">
        <v>0.20300668578937553</v>
      </c>
      <c r="D20">
        <v>0.62689724543892567</v>
      </c>
      <c r="E20">
        <v>0.3823661548714104</v>
      </c>
    </row>
    <row r="21" spans="1:5" x14ac:dyDescent="0.25">
      <c r="A21">
        <v>19</v>
      </c>
      <c r="B21">
        <v>0.65579469350801756</v>
      </c>
      <c r="C21">
        <v>0.34420530649198244</v>
      </c>
      <c r="D21">
        <v>0.24047730119120198</v>
      </c>
      <c r="E21">
        <v>0.30084001224511425</v>
      </c>
    </row>
    <row r="22" spans="1:5" x14ac:dyDescent="0.25">
      <c r="A22">
        <v>20</v>
      </c>
      <c r="B22">
        <v>0.46627231202774921</v>
      </c>
      <c r="C22">
        <v>0.53372768797225079</v>
      </c>
      <c r="D22">
        <v>0.13377613628207743</v>
      </c>
      <c r="E22">
        <v>0.32035015753997725</v>
      </c>
    </row>
    <row r="23" spans="1:5" x14ac:dyDescent="0.25">
      <c r="A23">
        <v>21</v>
      </c>
      <c r="B23">
        <v>0.78746113031544362</v>
      </c>
      <c r="C23">
        <v>0.21253886968455638</v>
      </c>
      <c r="D23">
        <v>0.35343741897473768</v>
      </c>
      <c r="E23">
        <v>0.19325387614530079</v>
      </c>
    </row>
    <row r="24" spans="1:5" x14ac:dyDescent="0.25">
      <c r="A24">
        <v>22</v>
      </c>
      <c r="B24">
        <v>0.65489979846881696</v>
      </c>
      <c r="C24">
        <v>0.34510020153118304</v>
      </c>
      <c r="D24">
        <v>0.18141795579705636</v>
      </c>
      <c r="E24">
        <v>0.45224723478257273</v>
      </c>
    </row>
    <row r="25" spans="1:5" x14ac:dyDescent="0.25">
      <c r="A25">
        <v>23</v>
      </c>
      <c r="B25">
        <v>1</v>
      </c>
      <c r="C25">
        <v>0</v>
      </c>
      <c r="D25">
        <v>0.24380636377981932</v>
      </c>
      <c r="E25">
        <v>0.16517266998392133</v>
      </c>
    </row>
    <row r="26" spans="1:5" x14ac:dyDescent="0.25">
      <c r="A26">
        <v>24</v>
      </c>
      <c r="B26">
        <v>1</v>
      </c>
      <c r="C26">
        <v>0</v>
      </c>
      <c r="D26">
        <v>0.77129235252564821</v>
      </c>
      <c r="E26">
        <v>6.2953220673084329E-2</v>
      </c>
    </row>
    <row r="27" spans="1:5" x14ac:dyDescent="0.25">
      <c r="A27">
        <v>25</v>
      </c>
      <c r="B27">
        <v>0.31117593730610255</v>
      </c>
      <c r="C27">
        <v>0.68882406269389751</v>
      </c>
      <c r="D27">
        <v>0.96500099074271595</v>
      </c>
      <c r="E27">
        <v>0.45809955785277884</v>
      </c>
    </row>
    <row r="28" spans="1:5" x14ac:dyDescent="0.25">
      <c r="A28">
        <v>26</v>
      </c>
      <c r="B28">
        <v>0.71850685492695465</v>
      </c>
      <c r="C28">
        <v>0.28149314507304535</v>
      </c>
      <c r="D28">
        <v>1.1069171919521552</v>
      </c>
      <c r="E28">
        <v>0.27244637877955669</v>
      </c>
    </row>
    <row r="29" spans="1:5" x14ac:dyDescent="0.25">
      <c r="A29">
        <v>27</v>
      </c>
      <c r="B29">
        <v>0.84385358985981362</v>
      </c>
      <c r="C29">
        <v>0.15614641014018638</v>
      </c>
      <c r="D29">
        <v>0.38040277631133712</v>
      </c>
      <c r="E29">
        <v>0.2646565668375504</v>
      </c>
    </row>
    <row r="30" spans="1:5" x14ac:dyDescent="0.25">
      <c r="A30">
        <v>28</v>
      </c>
      <c r="B30">
        <v>0.93574107797274886</v>
      </c>
      <c r="C30">
        <v>6.4258922027251142E-2</v>
      </c>
      <c r="D30">
        <v>0.92697144937467046</v>
      </c>
      <c r="E30">
        <v>0.37269587240622803</v>
      </c>
    </row>
    <row r="31" spans="1:5" x14ac:dyDescent="0.25">
      <c r="A31">
        <v>29</v>
      </c>
      <c r="B31">
        <v>0.15283567252603455</v>
      </c>
      <c r="C31">
        <v>0.84716432747396542</v>
      </c>
      <c r="D31">
        <v>2.1969575742864569</v>
      </c>
      <c r="E31">
        <v>0.52162132230615776</v>
      </c>
    </row>
    <row r="32" spans="1:5" x14ac:dyDescent="0.25">
      <c r="A32">
        <v>30</v>
      </c>
      <c r="B32">
        <v>0.75346277548594498</v>
      </c>
      <c r="C32">
        <v>0.24653722451405502</v>
      </c>
      <c r="D32">
        <v>0.1608547476766905</v>
      </c>
      <c r="E32">
        <v>0.56623778684122961</v>
      </c>
    </row>
    <row r="33" spans="1:5" x14ac:dyDescent="0.25">
      <c r="A33">
        <v>31</v>
      </c>
      <c r="B33">
        <v>0.26606563553081286</v>
      </c>
      <c r="C33">
        <v>0.73393436446918714</v>
      </c>
      <c r="D33">
        <v>0.21208711073314532</v>
      </c>
      <c r="E33">
        <v>0.61252428614557075</v>
      </c>
    </row>
    <row r="34" spans="1:5" x14ac:dyDescent="0.25">
      <c r="A34">
        <v>32</v>
      </c>
      <c r="B34">
        <v>0.89873568564364259</v>
      </c>
      <c r="C34">
        <v>0.10126431435635741</v>
      </c>
      <c r="D34">
        <v>0.26466640578887735</v>
      </c>
      <c r="E34">
        <v>0.20991454251275959</v>
      </c>
    </row>
    <row r="35" spans="1:5" x14ac:dyDescent="0.25">
      <c r="A35">
        <v>33</v>
      </c>
      <c r="B35">
        <v>0.66171572434477666</v>
      </c>
      <c r="C35">
        <v>0.33828427565522334</v>
      </c>
      <c r="D35">
        <v>0.17721990204030796</v>
      </c>
      <c r="E35">
        <v>0.38758270175816834</v>
      </c>
    </row>
    <row r="36" spans="1:5" x14ac:dyDescent="0.25">
      <c r="A36">
        <v>34</v>
      </c>
      <c r="B36">
        <v>0.94166338827867246</v>
      </c>
      <c r="C36">
        <v>5.8336611721327536E-2</v>
      </c>
      <c r="D36">
        <v>0.59177215704401553</v>
      </c>
      <c r="E36">
        <v>0.2121787758479354</v>
      </c>
    </row>
    <row r="37" spans="1:5" x14ac:dyDescent="0.25">
      <c r="A37">
        <v>35</v>
      </c>
      <c r="B37">
        <v>0.16749422478675427</v>
      </c>
      <c r="C37">
        <v>0.83250577521324576</v>
      </c>
      <c r="D37">
        <v>0.79803157354175591</v>
      </c>
      <c r="E37">
        <v>0.45768072878947419</v>
      </c>
    </row>
    <row r="38" spans="1:5" x14ac:dyDescent="0.25">
      <c r="A38">
        <v>36</v>
      </c>
      <c r="B38">
        <v>0.31197495417073307</v>
      </c>
      <c r="C38">
        <v>0.68802504582926693</v>
      </c>
      <c r="D38">
        <v>0.26468268652740318</v>
      </c>
      <c r="E38">
        <v>0.4707622592476769</v>
      </c>
    </row>
    <row r="39" spans="1:5" x14ac:dyDescent="0.25">
      <c r="A39">
        <v>37</v>
      </c>
      <c r="B39">
        <v>0.80972583078225779</v>
      </c>
      <c r="C39">
        <v>0.19027416921774221</v>
      </c>
      <c r="D39">
        <v>0.15017726941065238</v>
      </c>
      <c r="E39">
        <v>0.37746099381443993</v>
      </c>
    </row>
    <row r="40" spans="1:5" x14ac:dyDescent="0.25">
      <c r="A40">
        <v>38</v>
      </c>
      <c r="B40">
        <v>1</v>
      </c>
      <c r="C40">
        <v>0</v>
      </c>
      <c r="D40">
        <v>0.31515389459614929</v>
      </c>
      <c r="E40">
        <v>0.18706852253336098</v>
      </c>
    </row>
    <row r="41" spans="1:5" x14ac:dyDescent="0.25">
      <c r="A41">
        <v>39</v>
      </c>
      <c r="B41">
        <v>0.88495254501766929</v>
      </c>
      <c r="C41">
        <v>0.11504745498233071</v>
      </c>
      <c r="D41">
        <v>0.21086361843736195</v>
      </c>
      <c r="E41">
        <v>0.38070670774127829</v>
      </c>
    </row>
    <row r="42" spans="1:5" x14ac:dyDescent="0.25">
      <c r="A42">
        <v>40</v>
      </c>
      <c r="B42">
        <v>0.94619119865747647</v>
      </c>
      <c r="C42">
        <v>5.3808801342523527E-2</v>
      </c>
      <c r="D42">
        <v>5.5775111753015402E-2</v>
      </c>
      <c r="E42">
        <v>0.71189086519167055</v>
      </c>
    </row>
    <row r="43" spans="1:5" x14ac:dyDescent="0.25">
      <c r="A43">
        <v>41</v>
      </c>
      <c r="B43">
        <v>0.70843979291269332</v>
      </c>
      <c r="C43">
        <v>0.29156020708730668</v>
      </c>
      <c r="D43">
        <v>0.71312027979042125</v>
      </c>
      <c r="E43">
        <v>0.26516228619600196</v>
      </c>
    </row>
    <row r="44" spans="1:5" x14ac:dyDescent="0.25">
      <c r="A44">
        <v>42</v>
      </c>
      <c r="B44">
        <v>0.77712746026812962</v>
      </c>
      <c r="C44">
        <v>0.22287253973187038</v>
      </c>
      <c r="D44">
        <v>0.35281356241209638</v>
      </c>
      <c r="E44">
        <v>0.33846097987037538</v>
      </c>
    </row>
    <row r="45" spans="1:5" x14ac:dyDescent="0.25">
      <c r="A45">
        <v>43</v>
      </c>
      <c r="B45">
        <v>0.75147409522895692</v>
      </c>
      <c r="C45">
        <v>0.24852590477104308</v>
      </c>
      <c r="D45">
        <v>1.2490103083378441</v>
      </c>
      <c r="E45">
        <v>0.36918979823933329</v>
      </c>
    </row>
    <row r="46" spans="1:5" x14ac:dyDescent="0.25">
      <c r="A46">
        <v>44</v>
      </c>
      <c r="B46">
        <v>0.13283845945580999</v>
      </c>
      <c r="C46">
        <v>0.86716154054419003</v>
      </c>
      <c r="D46">
        <v>0.29159719445427912</v>
      </c>
      <c r="E46">
        <v>0.59625362421328254</v>
      </c>
    </row>
    <row r="47" spans="1:5" x14ac:dyDescent="0.25">
      <c r="A47">
        <v>45</v>
      </c>
      <c r="B47">
        <v>0.78900820745584666</v>
      </c>
      <c r="C47">
        <v>0.21099179254415334</v>
      </c>
      <c r="D47">
        <v>1.3920111945710056</v>
      </c>
      <c r="E47">
        <v>0.27964404183743835</v>
      </c>
    </row>
    <row r="48" spans="1:5" x14ac:dyDescent="0.25">
      <c r="A48">
        <v>46</v>
      </c>
      <c r="B48">
        <v>0.72300269521092753</v>
      </c>
      <c r="C48">
        <v>0.27699730478907247</v>
      </c>
      <c r="D48">
        <v>0.51836622287893352</v>
      </c>
      <c r="E48">
        <v>0.44613442863815556</v>
      </c>
    </row>
    <row r="49" spans="1:5" x14ac:dyDescent="0.25">
      <c r="A49">
        <v>47</v>
      </c>
      <c r="B49">
        <v>0.86766377524420024</v>
      </c>
      <c r="C49">
        <v>0.13233622475579976</v>
      </c>
      <c r="D49">
        <v>0.26302778833398532</v>
      </c>
      <c r="E49">
        <v>0.38003162767651449</v>
      </c>
    </row>
    <row r="50" spans="1:5" x14ac:dyDescent="0.25">
      <c r="A50">
        <v>48</v>
      </c>
      <c r="B50">
        <v>0.56948812255936831</v>
      </c>
      <c r="C50">
        <v>0.43051187744063169</v>
      </c>
      <c r="D50">
        <v>0.12680660556489337</v>
      </c>
      <c r="E50">
        <v>0.33524271903843306</v>
      </c>
    </row>
    <row r="51" spans="1:5" x14ac:dyDescent="0.25">
      <c r="A51">
        <v>49</v>
      </c>
      <c r="B51">
        <v>4.0552111889767435E-2</v>
      </c>
      <c r="C51">
        <v>0.95944788811023252</v>
      </c>
      <c r="D51">
        <v>0.19305758777326792</v>
      </c>
      <c r="E51">
        <v>0.48775413224163433</v>
      </c>
    </row>
    <row r="52" spans="1:5" x14ac:dyDescent="0.25">
      <c r="A52">
        <v>50</v>
      </c>
      <c r="B52">
        <v>0.89706434037320304</v>
      </c>
      <c r="C52">
        <v>0.10293565962679696</v>
      </c>
      <c r="D52">
        <v>0.1422294056271729</v>
      </c>
      <c r="E52">
        <v>0.30735012076798829</v>
      </c>
    </row>
    <row r="53" spans="1:5" x14ac:dyDescent="0.25">
      <c r="A53" t="s">
        <v>1</v>
      </c>
      <c r="B53">
        <v>0.11414919639340376</v>
      </c>
      <c r="C53">
        <v>0.88585080360659618</v>
      </c>
      <c r="D53">
        <v>1</v>
      </c>
      <c r="E53">
        <v>0.48859774826868452</v>
      </c>
    </row>
  </sheetData>
  <conditionalFormatting sqref="D3:D53">
    <cfRule type="colorScale" priority="1">
      <colorScale>
        <cfvo type="min"/>
        <cfvo type="max"/>
        <color theme="0"/>
        <color theme="1" tint="0.499984740745262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F99A-DDD9-4822-940E-BD7715FF2988}">
  <dimension ref="A1:F22"/>
  <sheetViews>
    <sheetView zoomScale="85" zoomScaleNormal="85" workbookViewId="0">
      <selection activeCell="N25" sqref="N25"/>
    </sheetView>
  </sheetViews>
  <sheetFormatPr defaultRowHeight="15" x14ac:dyDescent="0.25"/>
  <cols>
    <col min="1" max="1" width="11.7109375" bestFit="1" customWidth="1"/>
    <col min="2" max="2" width="15" bestFit="1" customWidth="1"/>
    <col min="3" max="3" width="11.42578125" bestFit="1" customWidth="1"/>
    <col min="4" max="4" width="13.7109375" bestFit="1" customWidth="1"/>
  </cols>
  <sheetData>
    <row r="1" spans="1:6" x14ac:dyDescent="0.25">
      <c r="A1" t="s">
        <v>0</v>
      </c>
      <c r="B1" t="s">
        <v>15</v>
      </c>
      <c r="C1" t="s">
        <v>10</v>
      </c>
      <c r="D1" t="s">
        <v>13</v>
      </c>
      <c r="E1" t="s">
        <v>6</v>
      </c>
      <c r="F1" t="s">
        <v>14</v>
      </c>
    </row>
    <row r="3" spans="1:6" x14ac:dyDescent="0.25">
      <c r="A3">
        <v>1</v>
      </c>
      <c r="B3" s="3">
        <v>0.56467610631719456</v>
      </c>
      <c r="C3" s="1">
        <v>0.22477918102496527</v>
      </c>
      <c r="D3" s="1">
        <v>0.50008019288827477</v>
      </c>
      <c r="E3" s="1">
        <v>6.5682604084917592E-2</v>
      </c>
      <c r="F3" s="1">
        <v>0.20945802200184246</v>
      </c>
    </row>
    <row r="4" spans="1:6" x14ac:dyDescent="0.25">
      <c r="A4" s="4">
        <v>2</v>
      </c>
      <c r="B4" s="3">
        <v>1.7442385243815872</v>
      </c>
      <c r="C4" s="1">
        <v>0.70760764673177889</v>
      </c>
      <c r="D4" s="1">
        <v>8.7392891417321053E-2</v>
      </c>
      <c r="E4" s="1">
        <v>8.963077352831357E-2</v>
      </c>
      <c r="F4" s="1">
        <v>0.11536868832258652</v>
      </c>
    </row>
    <row r="5" spans="1:6" x14ac:dyDescent="0.25">
      <c r="A5">
        <v>3</v>
      </c>
      <c r="B5" s="3">
        <v>0.50334313182352031</v>
      </c>
      <c r="C5" s="1">
        <v>0.52054522020940908</v>
      </c>
      <c r="D5" s="1">
        <v>0</v>
      </c>
      <c r="E5" s="1">
        <v>0.17506780783555523</v>
      </c>
      <c r="F5" s="1">
        <v>0.30438697195503578</v>
      </c>
    </row>
    <row r="6" spans="1:6" x14ac:dyDescent="0.25">
      <c r="A6">
        <v>5</v>
      </c>
      <c r="B6" s="3">
        <v>0.9169294714002979</v>
      </c>
      <c r="C6" s="1">
        <v>0.5545953909895569</v>
      </c>
      <c r="D6" s="1">
        <v>0.10943585612702532</v>
      </c>
      <c r="E6" s="1">
        <v>4.4734615869929988E-2</v>
      </c>
      <c r="F6" s="1">
        <v>0.29123413701348777</v>
      </c>
    </row>
    <row r="7" spans="1:6" x14ac:dyDescent="0.25">
      <c r="A7">
        <v>6</v>
      </c>
      <c r="B7" s="3">
        <v>0.9703828570051688</v>
      </c>
      <c r="C7" s="1">
        <v>0.55317686282644107</v>
      </c>
      <c r="D7" s="1">
        <v>9.1602346512913338E-2</v>
      </c>
      <c r="E7" s="1">
        <v>8.5011408621258916E-2</v>
      </c>
      <c r="F7" s="1">
        <v>0.2702093820393866</v>
      </c>
    </row>
    <row r="8" spans="1:6" x14ac:dyDescent="0.25">
      <c r="A8">
        <v>11</v>
      </c>
      <c r="B8" s="3">
        <v>1.1196192082539067</v>
      </c>
      <c r="C8" s="1">
        <v>0.21232602098595765</v>
      </c>
      <c r="D8" s="1">
        <v>0.53466360338858521</v>
      </c>
      <c r="E8" s="1">
        <v>7.0044487303313682E-2</v>
      </c>
      <c r="F8" s="1">
        <v>0.1829658883221435</v>
      </c>
    </row>
    <row r="9" spans="1:6" x14ac:dyDescent="0.25">
      <c r="A9">
        <v>17</v>
      </c>
      <c r="B9" s="3">
        <v>0.75676901688486264</v>
      </c>
      <c r="C9" s="1">
        <v>0.33672780912617944</v>
      </c>
      <c r="D9" s="1">
        <v>0.51131392526871033</v>
      </c>
      <c r="E9" s="1">
        <v>2.3177867621169929E-2</v>
      </c>
      <c r="F9" s="1">
        <v>0.12878039798394031</v>
      </c>
    </row>
    <row r="10" spans="1:6" x14ac:dyDescent="0.25">
      <c r="A10">
        <v>18</v>
      </c>
      <c r="B10" s="3">
        <v>0.62689724543892567</v>
      </c>
      <c r="C10" s="1">
        <v>0.3823661548714104</v>
      </c>
      <c r="D10" s="1">
        <v>0.22102743292216037</v>
      </c>
      <c r="E10" s="1">
        <v>4.6437729051413683E-2</v>
      </c>
      <c r="F10" s="1">
        <v>0.35016868315501559</v>
      </c>
    </row>
    <row r="11" spans="1:6" x14ac:dyDescent="0.25">
      <c r="A11" s="4">
        <v>24</v>
      </c>
      <c r="B11" s="3">
        <v>0.77129235252564821</v>
      </c>
      <c r="C11" s="1">
        <v>6.2953220673084329E-2</v>
      </c>
      <c r="D11" s="1">
        <v>0.77009290689569576</v>
      </c>
      <c r="E11" s="1">
        <v>0.13404447065629194</v>
      </c>
      <c r="F11" s="1">
        <v>3.2909401774928057E-2</v>
      </c>
    </row>
    <row r="12" spans="1:6" x14ac:dyDescent="0.25">
      <c r="A12">
        <v>25</v>
      </c>
      <c r="B12" s="3">
        <v>0.96500099074271595</v>
      </c>
      <c r="C12" s="1">
        <v>0.45809955785277884</v>
      </c>
      <c r="D12" s="1">
        <v>0.24224066999259161</v>
      </c>
      <c r="E12" s="1">
        <v>2.757273400323363E-2</v>
      </c>
      <c r="F12" s="1">
        <v>0.27208703815139579</v>
      </c>
    </row>
    <row r="13" spans="1:6" x14ac:dyDescent="0.25">
      <c r="A13">
        <v>26</v>
      </c>
      <c r="B13" s="3">
        <v>1.1069171919521552</v>
      </c>
      <c r="C13" s="1">
        <v>0.27244637877955669</v>
      </c>
      <c r="D13" s="1">
        <v>0.49383685354034829</v>
      </c>
      <c r="E13" s="1">
        <v>5.1682788490114262E-2</v>
      </c>
      <c r="F13" s="1">
        <v>0.18203397918998068</v>
      </c>
    </row>
    <row r="14" spans="1:6" x14ac:dyDescent="0.25">
      <c r="A14">
        <v>28</v>
      </c>
      <c r="B14" s="3">
        <v>0.92697144937467046</v>
      </c>
      <c r="C14" s="1">
        <v>0.37269587240622803</v>
      </c>
      <c r="D14" s="1">
        <v>0.35705206250824162</v>
      </c>
      <c r="E14" s="1">
        <v>4.3168970068808848E-2</v>
      </c>
      <c r="F14" s="1">
        <v>0.22708309501672147</v>
      </c>
    </row>
    <row r="15" spans="1:6" x14ac:dyDescent="0.25">
      <c r="A15" s="4">
        <v>29</v>
      </c>
      <c r="B15" s="3">
        <v>2.1969575742864569</v>
      </c>
      <c r="C15" s="1">
        <v>0.52162132230615776</v>
      </c>
      <c r="D15" s="1">
        <v>5.5592153022338678E-2</v>
      </c>
      <c r="E15" s="1">
        <v>0.18811666835314828</v>
      </c>
      <c r="F15" s="1">
        <v>0.2346698563183553</v>
      </c>
    </row>
    <row r="16" spans="1:6" x14ac:dyDescent="0.25">
      <c r="A16">
        <v>34</v>
      </c>
      <c r="B16" s="3">
        <v>0.59177215704401553</v>
      </c>
      <c r="C16" s="1">
        <v>0.2121787758479354</v>
      </c>
      <c r="D16" s="1">
        <v>0.44057401426953141</v>
      </c>
      <c r="E16" s="1">
        <v>0.11442235091984097</v>
      </c>
      <c r="F16" s="1">
        <v>0.23282485896269214</v>
      </c>
    </row>
    <row r="17" spans="1:6" x14ac:dyDescent="0.25">
      <c r="A17">
        <v>35</v>
      </c>
      <c r="B17" s="3">
        <v>0.79803157354175591</v>
      </c>
      <c r="C17" s="1">
        <v>0.45768072878947419</v>
      </c>
      <c r="D17" s="1">
        <v>0.1550542839023987</v>
      </c>
      <c r="E17" s="1">
        <v>9.2982769954725888E-2</v>
      </c>
      <c r="F17" s="1">
        <v>0.29428221735340138</v>
      </c>
    </row>
    <row r="18" spans="1:6" x14ac:dyDescent="0.25">
      <c r="A18">
        <v>41</v>
      </c>
      <c r="B18" s="3">
        <v>0.71312027979042125</v>
      </c>
      <c r="C18" s="1">
        <v>0.26516228619600196</v>
      </c>
      <c r="D18" s="1">
        <v>0.5522856417780293</v>
      </c>
      <c r="E18" s="1">
        <v>0.110377014586689</v>
      </c>
      <c r="F18" s="1">
        <v>7.2175057439279669E-2</v>
      </c>
    </row>
    <row r="19" spans="1:6" x14ac:dyDescent="0.25">
      <c r="A19">
        <v>43</v>
      </c>
      <c r="B19" s="3">
        <v>1.2490103083378441</v>
      </c>
      <c r="C19" s="1">
        <v>0.36918979823933329</v>
      </c>
      <c r="D19" s="1">
        <v>0.38216829062329072</v>
      </c>
      <c r="E19" s="1">
        <v>9.5037562922598212E-2</v>
      </c>
      <c r="F19" s="1">
        <v>0.15360434821477792</v>
      </c>
    </row>
    <row r="20" spans="1:6" x14ac:dyDescent="0.25">
      <c r="A20" s="4">
        <v>45</v>
      </c>
      <c r="B20" s="3">
        <v>1.3920111945710056</v>
      </c>
      <c r="C20" s="1">
        <v>0.27964404183743835</v>
      </c>
      <c r="D20" s="1">
        <v>0.54038328569657013</v>
      </c>
      <c r="E20" s="1">
        <v>4.9906712214046953E-2</v>
      </c>
      <c r="F20" s="1">
        <v>0.13006596025194461</v>
      </c>
    </row>
    <row r="21" spans="1:6" x14ac:dyDescent="0.25">
      <c r="A21">
        <v>46</v>
      </c>
      <c r="B21" s="3">
        <v>0.51836622287893352</v>
      </c>
      <c r="C21" s="1">
        <v>0.44613442863815556</v>
      </c>
      <c r="D21" s="1">
        <v>0.37193955919783478</v>
      </c>
      <c r="E21" s="1">
        <v>4.0715239560743896E-2</v>
      </c>
      <c r="F21" s="1">
        <v>0.1412107726032657</v>
      </c>
    </row>
    <row r="22" spans="1:6" x14ac:dyDescent="0.25">
      <c r="A22" t="s">
        <v>1</v>
      </c>
      <c r="B22" s="3">
        <v>1</v>
      </c>
      <c r="C22" s="1">
        <v>0.48859774826868452</v>
      </c>
      <c r="D22" s="1">
        <v>6.6211748090317754E-2</v>
      </c>
      <c r="E22" s="1">
        <v>7.3549930087191656E-2</v>
      </c>
      <c r="F22" s="1">
        <v>0.37164057355380598</v>
      </c>
    </row>
  </sheetData>
  <conditionalFormatting sqref="C3:C22">
    <cfRule type="colorScale" priority="52">
      <colorScale>
        <cfvo type="min"/>
        <cfvo type="max"/>
        <color theme="0"/>
        <color theme="1" tint="0.499984740745262"/>
      </colorScale>
    </cfRule>
  </conditionalFormatting>
  <conditionalFormatting sqref="D3:D22">
    <cfRule type="colorScale" priority="54">
      <colorScale>
        <cfvo type="min"/>
        <cfvo type="max"/>
        <color theme="0"/>
        <color theme="7"/>
      </colorScale>
    </cfRule>
  </conditionalFormatting>
  <conditionalFormatting sqref="E3:E22">
    <cfRule type="colorScale" priority="2">
      <colorScale>
        <cfvo type="min"/>
        <cfvo type="max"/>
        <color theme="0"/>
        <color theme="5"/>
      </colorScale>
    </cfRule>
  </conditionalFormatting>
  <conditionalFormatting sqref="F3:F22">
    <cfRule type="colorScale" priority="1">
      <colorScale>
        <cfvo type="min"/>
        <cfvo type="max"/>
        <color theme="0"/>
        <color theme="9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86D1-19A9-4273-A401-22CF40611667}">
  <dimension ref="A1"/>
  <sheetViews>
    <sheetView workbookViewId="0">
      <selection activeCell="I28" sqref="I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Epoxide Dia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ajevy</dc:creator>
  <cp:lastModifiedBy>ajevy</cp:lastModifiedBy>
  <dcterms:created xsi:type="dcterms:W3CDTF">2023-12-01T10:11:42Z</dcterms:created>
  <dcterms:modified xsi:type="dcterms:W3CDTF">2024-08-30T16:03:13Z</dcterms:modified>
</cp:coreProperties>
</file>