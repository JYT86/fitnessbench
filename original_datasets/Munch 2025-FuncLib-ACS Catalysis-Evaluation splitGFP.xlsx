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aper\Paper_3\Data for publication\"/>
    </mc:Choice>
  </mc:AlternateContent>
  <xr:revisionPtr revIDLastSave="0" documentId="8_{E3063276-2334-463A-BCD4-18CCC2E4FF4D}" xr6:coauthVersionLast="47" xr6:coauthVersionMax="47" xr10:uidLastSave="{00000000-0000-0000-0000-000000000000}"/>
  <bookViews>
    <workbookView xWindow="-120" yWindow="-120" windowWidth="38640" windowHeight="21240" xr2:uid="{1405CFEF-56CC-4184-B0F2-4077B562BF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2" i="1"/>
  <c r="W52" i="1"/>
  <c r="W51" i="1"/>
  <c r="C25" i="1"/>
  <c r="D25" i="1"/>
  <c r="E25" i="1"/>
  <c r="F25" i="1"/>
  <c r="G25" i="1"/>
  <c r="H25" i="1"/>
  <c r="I25" i="1"/>
  <c r="C26" i="1"/>
  <c r="D26" i="1"/>
  <c r="E26" i="1"/>
  <c r="F26" i="1"/>
  <c r="G26" i="1"/>
  <c r="H26" i="1"/>
  <c r="I26" i="1"/>
  <c r="C27" i="1"/>
  <c r="D27" i="1"/>
  <c r="E27" i="1"/>
  <c r="F27" i="1"/>
  <c r="G27" i="1"/>
  <c r="H27" i="1"/>
  <c r="I27" i="1"/>
  <c r="C28" i="1"/>
  <c r="D28" i="1"/>
  <c r="E28" i="1"/>
  <c r="F28" i="1"/>
  <c r="G28" i="1"/>
  <c r="H28" i="1"/>
  <c r="I28" i="1"/>
  <c r="C29" i="1"/>
  <c r="D29" i="1"/>
  <c r="E29" i="1"/>
  <c r="F29" i="1"/>
  <c r="G29" i="1"/>
  <c r="H29" i="1"/>
  <c r="I29" i="1"/>
  <c r="C30" i="1"/>
  <c r="D30" i="1"/>
  <c r="E30" i="1"/>
  <c r="F30" i="1"/>
  <c r="G30" i="1"/>
  <c r="H30" i="1"/>
  <c r="I30" i="1"/>
  <c r="C31" i="1"/>
  <c r="D31" i="1"/>
  <c r="E31" i="1"/>
  <c r="F31" i="1"/>
  <c r="G31" i="1"/>
  <c r="H31" i="1"/>
  <c r="I31" i="1"/>
  <c r="C32" i="1"/>
  <c r="D32" i="1"/>
  <c r="E32" i="1"/>
  <c r="F32" i="1"/>
  <c r="G32" i="1"/>
  <c r="H32" i="1"/>
  <c r="I32" i="1"/>
  <c r="B26" i="1"/>
  <c r="B27" i="1"/>
  <c r="B28" i="1"/>
  <c r="B29" i="1"/>
  <c r="B30" i="1"/>
  <c r="B31" i="1"/>
  <c r="B32" i="1"/>
  <c r="B25" i="1"/>
  <c r="W53" i="1" l="1"/>
</calcChain>
</file>

<file path=xl/sharedStrings.xml><?xml version="1.0" encoding="utf-8"?>
<sst xmlns="http://schemas.openxmlformats.org/spreadsheetml/2006/main" count="190" uniqueCount="78">
  <si>
    <t>1</t>
  </si>
  <si>
    <t>2</t>
  </si>
  <si>
    <t>3</t>
  </si>
  <si>
    <t>4</t>
  </si>
  <si>
    <t>5</t>
  </si>
  <si>
    <t>6</t>
  </si>
  <si>
    <t>7</t>
  </si>
  <si>
    <t>8</t>
  </si>
  <si>
    <t>A</t>
  </si>
  <si>
    <t>B</t>
  </si>
  <si>
    <t>C</t>
  </si>
  <si>
    <t>D</t>
  </si>
  <si>
    <t>E</t>
  </si>
  <si>
    <t>F</t>
  </si>
  <si>
    <t>G</t>
  </si>
  <si>
    <t>H</t>
  </si>
  <si>
    <t>t1</t>
  </si>
  <si>
    <t>t0</t>
  </si>
  <si>
    <t>t1-t0</t>
  </si>
  <si>
    <t>wt</t>
  </si>
  <si>
    <t>LV</t>
  </si>
  <si>
    <t>empty</t>
  </si>
  <si>
    <t>SplitGFP values at t=0h</t>
  </si>
  <si>
    <t>SplitGFP values at t=3d</t>
  </si>
  <si>
    <t>Design1</t>
  </si>
  <si>
    <t>Design2</t>
  </si>
  <si>
    <t>Design3</t>
  </si>
  <si>
    <t>Design4</t>
  </si>
  <si>
    <t>Design5</t>
  </si>
  <si>
    <t>Design6</t>
  </si>
  <si>
    <t>Design7</t>
  </si>
  <si>
    <t>Design8</t>
  </si>
  <si>
    <t>Design9</t>
  </si>
  <si>
    <t>Design10</t>
  </si>
  <si>
    <t>Design11</t>
  </si>
  <si>
    <t>Design12</t>
  </si>
  <si>
    <t>Design13</t>
  </si>
  <si>
    <t>Design14</t>
  </si>
  <si>
    <t>Design15</t>
  </si>
  <si>
    <t>Design16</t>
  </si>
  <si>
    <t>Design17</t>
  </si>
  <si>
    <t>Design18</t>
  </si>
  <si>
    <t>Design19</t>
  </si>
  <si>
    <t>Design20</t>
  </si>
  <si>
    <t>Design21</t>
  </si>
  <si>
    <t>Design22</t>
  </si>
  <si>
    <t>Design23</t>
  </si>
  <si>
    <t>Design25</t>
  </si>
  <si>
    <t>Design33</t>
  </si>
  <si>
    <t>Design41</t>
  </si>
  <si>
    <t>Design49</t>
  </si>
  <si>
    <t>Design24</t>
  </si>
  <si>
    <t>Design26</t>
  </si>
  <si>
    <t>Design34</t>
  </si>
  <si>
    <t>Design42</t>
  </si>
  <si>
    <t>Design50</t>
  </si>
  <si>
    <t>Design27</t>
  </si>
  <si>
    <t>Design35</t>
  </si>
  <si>
    <t>Design43</t>
  </si>
  <si>
    <t>Design28</t>
  </si>
  <si>
    <t>Design36</t>
  </si>
  <si>
    <t>Design44</t>
  </si>
  <si>
    <t>Design29</t>
  </si>
  <si>
    <t>Design37</t>
  </si>
  <si>
    <t>Design45</t>
  </si>
  <si>
    <t>Design30</t>
  </si>
  <si>
    <t>Design38</t>
  </si>
  <si>
    <t>Design46</t>
  </si>
  <si>
    <t>Design31</t>
  </si>
  <si>
    <t>Design39</t>
  </si>
  <si>
    <t>Design47</t>
  </si>
  <si>
    <t>Design32</t>
  </si>
  <si>
    <t>Design40</t>
  </si>
  <si>
    <t>Design48</t>
  </si>
  <si>
    <t>Plate Setup</t>
  </si>
  <si>
    <t>Design</t>
  </si>
  <si>
    <t>Value</t>
  </si>
  <si>
    <t>Comparison to wild type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</si>
</sst>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0" fontId="3" fillId="0" borderId="0" xfId="0" applyFont="1"/>
    <xf numFmtId="9" fontId="0" fillId="0" borderId="0" xfId="1" applyFont="1"/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76F1-D536-441D-BBE1-0045E715AC95}">
  <dimension ref="A1:X53"/>
  <sheetViews>
    <sheetView tabSelected="1" workbookViewId="0">
      <selection activeCell="O16" sqref="O16"/>
    </sheetView>
  </sheetViews>
  <sheetFormatPr defaultRowHeight="15" x14ac:dyDescent="0.25"/>
  <cols>
    <col min="24" max="24" width="20.140625" customWidth="1"/>
  </cols>
  <sheetData>
    <row r="1" spans="1:24" ht="30" x14ac:dyDescent="0.25">
      <c r="A1" s="4" t="s">
        <v>23</v>
      </c>
      <c r="B1" s="4"/>
      <c r="C1" s="4"/>
      <c r="U1" s="6" t="s">
        <v>75</v>
      </c>
      <c r="V1" s="6" t="s">
        <v>76</v>
      </c>
      <c r="W1" s="6"/>
      <c r="X1" s="7" t="s">
        <v>77</v>
      </c>
    </row>
    <row r="2" spans="1:24" x14ac:dyDescent="0.25">
      <c r="A2" s="1" t="s">
        <v>16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K2" s="6" t="s">
        <v>74</v>
      </c>
      <c r="U2" s="2" t="s">
        <v>24</v>
      </c>
      <c r="V2">
        <v>5347</v>
      </c>
      <c r="X2">
        <f>V2/$V$52</f>
        <v>1.5570762958648805</v>
      </c>
    </row>
    <row r="3" spans="1:24" x14ac:dyDescent="0.25">
      <c r="A3" s="1" t="s">
        <v>8</v>
      </c>
      <c r="B3" s="2">
        <v>9722</v>
      </c>
      <c r="C3" s="2">
        <v>9048</v>
      </c>
      <c r="D3" s="2">
        <v>7978</v>
      </c>
      <c r="E3" s="2">
        <v>8585</v>
      </c>
      <c r="F3" s="2">
        <v>7421</v>
      </c>
      <c r="G3" s="2">
        <v>7861</v>
      </c>
      <c r="H3" s="2">
        <v>7597</v>
      </c>
      <c r="I3" s="2">
        <v>1197</v>
      </c>
      <c r="U3" s="2" t="s">
        <v>25</v>
      </c>
      <c r="V3">
        <v>4066</v>
      </c>
      <c r="X3">
        <f>V3/$V$52</f>
        <v>1.1840419336051251</v>
      </c>
    </row>
    <row r="4" spans="1:24" x14ac:dyDescent="0.25">
      <c r="A4" s="1" t="s">
        <v>9</v>
      </c>
      <c r="B4" s="2">
        <v>8153</v>
      </c>
      <c r="C4" s="2">
        <v>7959</v>
      </c>
      <c r="D4" s="2">
        <v>7755</v>
      </c>
      <c r="E4" s="2">
        <v>7905</v>
      </c>
      <c r="F4" s="2">
        <v>7072</v>
      </c>
      <c r="G4" s="2">
        <v>8381</v>
      </c>
      <c r="H4" s="2">
        <v>6922</v>
      </c>
      <c r="I4" s="2">
        <v>1260</v>
      </c>
      <c r="K4" s="1" t="s">
        <v>18</v>
      </c>
      <c r="L4" s="1" t="s">
        <v>0</v>
      </c>
      <c r="M4" s="1" t="s">
        <v>1</v>
      </c>
      <c r="N4" s="1" t="s">
        <v>2</v>
      </c>
      <c r="O4" s="1" t="s">
        <v>3</v>
      </c>
      <c r="P4" s="1" t="s">
        <v>4</v>
      </c>
      <c r="Q4" s="1" t="s">
        <v>5</v>
      </c>
      <c r="R4" s="1" t="s">
        <v>6</v>
      </c>
      <c r="S4" s="1" t="s">
        <v>7</v>
      </c>
      <c r="U4" s="2" t="s">
        <v>26</v>
      </c>
      <c r="V4">
        <v>5805</v>
      </c>
      <c r="X4">
        <f t="shared" ref="X3:X52" si="0">V4/$V$52</f>
        <v>1.690448456610367</v>
      </c>
    </row>
    <row r="5" spans="1:24" x14ac:dyDescent="0.25">
      <c r="A5" s="1" t="s">
        <v>10</v>
      </c>
      <c r="B5" s="2">
        <v>10100</v>
      </c>
      <c r="C5" s="2">
        <v>7999</v>
      </c>
      <c r="D5" s="2">
        <v>6384</v>
      </c>
      <c r="E5" s="2">
        <v>9087</v>
      </c>
      <c r="F5" s="2">
        <v>8974</v>
      </c>
      <c r="G5" s="2">
        <v>9399</v>
      </c>
      <c r="H5" s="2">
        <v>7359</v>
      </c>
      <c r="I5" s="2">
        <v>1265</v>
      </c>
      <c r="K5" s="1" t="s">
        <v>8</v>
      </c>
      <c r="L5" s="2" t="s">
        <v>24</v>
      </c>
      <c r="M5" s="2" t="s">
        <v>32</v>
      </c>
      <c r="N5" s="2" t="s">
        <v>40</v>
      </c>
      <c r="O5" s="2" t="s">
        <v>47</v>
      </c>
      <c r="P5" s="2" t="s">
        <v>48</v>
      </c>
      <c r="Q5" s="2" t="s">
        <v>49</v>
      </c>
      <c r="R5" s="2" t="s">
        <v>50</v>
      </c>
      <c r="S5" s="2" t="s">
        <v>21</v>
      </c>
      <c r="U5" s="2" t="s">
        <v>27</v>
      </c>
      <c r="V5">
        <v>5913</v>
      </c>
      <c r="X5">
        <f t="shared" si="0"/>
        <v>1.7218986604542807</v>
      </c>
    </row>
    <row r="6" spans="1:24" x14ac:dyDescent="0.25">
      <c r="A6" s="1" t="s">
        <v>11</v>
      </c>
      <c r="B6" s="2">
        <v>10439</v>
      </c>
      <c r="C6" s="2">
        <v>10150</v>
      </c>
      <c r="D6" s="2">
        <v>7053</v>
      </c>
      <c r="E6" s="2">
        <v>9554</v>
      </c>
      <c r="F6" s="2">
        <v>6783</v>
      </c>
      <c r="G6" s="2">
        <v>9047</v>
      </c>
      <c r="H6" s="2">
        <v>7084</v>
      </c>
      <c r="I6" s="2">
        <v>1294</v>
      </c>
      <c r="K6" s="1" t="s">
        <v>9</v>
      </c>
      <c r="L6" s="2" t="s">
        <v>25</v>
      </c>
      <c r="M6" s="2" t="s">
        <v>33</v>
      </c>
      <c r="N6" s="2" t="s">
        <v>41</v>
      </c>
      <c r="O6" s="2" t="s">
        <v>52</v>
      </c>
      <c r="P6" s="2" t="s">
        <v>53</v>
      </c>
      <c r="Q6" s="2" t="s">
        <v>54</v>
      </c>
      <c r="R6" s="2" t="s">
        <v>55</v>
      </c>
      <c r="S6" s="2" t="s">
        <v>21</v>
      </c>
      <c r="U6" s="2" t="s">
        <v>28</v>
      </c>
      <c r="V6">
        <v>4039</v>
      </c>
      <c r="X6">
        <f t="shared" si="0"/>
        <v>1.1761793826441467</v>
      </c>
    </row>
    <row r="7" spans="1:24" x14ac:dyDescent="0.25">
      <c r="A7" s="1" t="s">
        <v>12</v>
      </c>
      <c r="B7" s="2">
        <v>8730</v>
      </c>
      <c r="C7" s="2">
        <v>7816</v>
      </c>
      <c r="D7" s="2">
        <v>6995</v>
      </c>
      <c r="E7" s="2">
        <v>8558</v>
      </c>
      <c r="F7" s="2">
        <v>5909</v>
      </c>
      <c r="G7" s="2">
        <v>7983</v>
      </c>
      <c r="H7" s="2">
        <v>6758</v>
      </c>
      <c r="I7" s="2">
        <v>1331</v>
      </c>
      <c r="K7" s="1" t="s">
        <v>10</v>
      </c>
      <c r="L7" s="2" t="s">
        <v>26</v>
      </c>
      <c r="M7" s="2" t="s">
        <v>34</v>
      </c>
      <c r="N7" s="2" t="s">
        <v>42</v>
      </c>
      <c r="O7" s="2" t="s">
        <v>56</v>
      </c>
      <c r="P7" s="2" t="s">
        <v>57</v>
      </c>
      <c r="Q7" s="2" t="s">
        <v>58</v>
      </c>
      <c r="R7" s="2" t="s">
        <v>19</v>
      </c>
      <c r="S7" s="2" t="s">
        <v>21</v>
      </c>
      <c r="U7" s="2" t="s">
        <v>29</v>
      </c>
      <c r="V7">
        <v>5105</v>
      </c>
      <c r="X7">
        <f t="shared" si="0"/>
        <v>1.4866045428072219</v>
      </c>
    </row>
    <row r="8" spans="1:24" x14ac:dyDescent="0.25">
      <c r="A8" s="1" t="s">
        <v>13</v>
      </c>
      <c r="B8" s="2">
        <v>9660</v>
      </c>
      <c r="C8" s="2">
        <v>8499</v>
      </c>
      <c r="D8" s="2">
        <v>8330</v>
      </c>
      <c r="E8" s="2">
        <v>7621</v>
      </c>
      <c r="F8" s="2">
        <v>7755</v>
      </c>
      <c r="G8" s="2">
        <v>7572</v>
      </c>
      <c r="H8" s="2">
        <v>7332</v>
      </c>
      <c r="I8" s="2">
        <v>1271</v>
      </c>
      <c r="K8" s="1" t="s">
        <v>11</v>
      </c>
      <c r="L8" s="2" t="s">
        <v>27</v>
      </c>
      <c r="M8" s="2" t="s">
        <v>35</v>
      </c>
      <c r="N8" s="2" t="s">
        <v>43</v>
      </c>
      <c r="O8" s="2" t="s">
        <v>59</v>
      </c>
      <c r="P8" s="2" t="s">
        <v>60</v>
      </c>
      <c r="Q8" s="2" t="s">
        <v>61</v>
      </c>
      <c r="R8" s="2" t="s">
        <v>19</v>
      </c>
      <c r="S8" s="2" t="s">
        <v>21</v>
      </c>
      <c r="U8" s="2" t="s">
        <v>30</v>
      </c>
      <c r="V8">
        <v>5083</v>
      </c>
      <c r="X8">
        <f t="shared" si="0"/>
        <v>1.4801980198019802</v>
      </c>
    </row>
    <row r="9" spans="1:24" x14ac:dyDescent="0.25">
      <c r="A9" s="1" t="s">
        <v>14</v>
      </c>
      <c r="B9" s="2">
        <v>10632</v>
      </c>
      <c r="C9" s="2">
        <v>8209</v>
      </c>
      <c r="D9" s="2">
        <v>8153</v>
      </c>
      <c r="E9" s="2">
        <v>7023</v>
      </c>
      <c r="F9" s="2">
        <v>6692</v>
      </c>
      <c r="G9" s="2">
        <v>7154</v>
      </c>
      <c r="H9" s="2">
        <v>5758</v>
      </c>
      <c r="I9" s="2">
        <v>1297</v>
      </c>
      <c r="K9" s="1" t="s">
        <v>12</v>
      </c>
      <c r="L9" s="2" t="s">
        <v>28</v>
      </c>
      <c r="M9" s="2" t="s">
        <v>36</v>
      </c>
      <c r="N9" s="2" t="s">
        <v>44</v>
      </c>
      <c r="O9" s="2" t="s">
        <v>62</v>
      </c>
      <c r="P9" s="2" t="s">
        <v>63</v>
      </c>
      <c r="Q9" s="2" t="s">
        <v>64</v>
      </c>
      <c r="R9" s="2" t="s">
        <v>19</v>
      </c>
      <c r="S9" s="2" t="s">
        <v>21</v>
      </c>
      <c r="U9" s="2" t="s">
        <v>31</v>
      </c>
      <c r="V9">
        <v>6532</v>
      </c>
      <c r="X9">
        <f t="shared" si="0"/>
        <v>1.9021549213744904</v>
      </c>
    </row>
    <row r="10" spans="1:24" x14ac:dyDescent="0.25">
      <c r="A10" s="1" t="s">
        <v>15</v>
      </c>
      <c r="B10" s="2">
        <v>11857</v>
      </c>
      <c r="C10" s="2">
        <v>9181</v>
      </c>
      <c r="D10" s="2">
        <v>9008</v>
      </c>
      <c r="E10" s="2">
        <v>9024</v>
      </c>
      <c r="F10" s="2">
        <v>6074</v>
      </c>
      <c r="G10" s="2">
        <v>8651</v>
      </c>
      <c r="H10" s="2">
        <v>5972</v>
      </c>
      <c r="I10" s="2">
        <v>1232</v>
      </c>
      <c r="K10" s="1" t="s">
        <v>13</v>
      </c>
      <c r="L10" s="2" t="s">
        <v>29</v>
      </c>
      <c r="M10" s="2" t="s">
        <v>37</v>
      </c>
      <c r="N10" s="2" t="s">
        <v>45</v>
      </c>
      <c r="O10" s="2" t="s">
        <v>65</v>
      </c>
      <c r="P10" s="2" t="s">
        <v>66</v>
      </c>
      <c r="Q10" s="2" t="s">
        <v>67</v>
      </c>
      <c r="R10" s="2" t="s">
        <v>19</v>
      </c>
      <c r="S10" s="2" t="s">
        <v>21</v>
      </c>
      <c r="U10" s="2" t="s">
        <v>32</v>
      </c>
      <c r="V10">
        <v>4258</v>
      </c>
      <c r="X10">
        <f t="shared" si="0"/>
        <v>1.2399534071054163</v>
      </c>
    </row>
    <row r="11" spans="1:24" x14ac:dyDescent="0.25">
      <c r="K11" s="1" t="s">
        <v>14</v>
      </c>
      <c r="L11" s="2" t="s">
        <v>30</v>
      </c>
      <c r="M11" s="2" t="s">
        <v>38</v>
      </c>
      <c r="N11" s="2" t="s">
        <v>46</v>
      </c>
      <c r="O11" s="2" t="s">
        <v>68</v>
      </c>
      <c r="P11" s="2" t="s">
        <v>69</v>
      </c>
      <c r="Q11" s="2" t="s">
        <v>70</v>
      </c>
      <c r="R11" s="2" t="s">
        <v>20</v>
      </c>
      <c r="S11" s="2" t="s">
        <v>21</v>
      </c>
      <c r="U11" s="2" t="s">
        <v>33</v>
      </c>
      <c r="V11">
        <v>3881</v>
      </c>
      <c r="X11">
        <f t="shared" si="0"/>
        <v>1.1301688992428656</v>
      </c>
    </row>
    <row r="12" spans="1:24" x14ac:dyDescent="0.25">
      <c r="A12" s="5" t="s">
        <v>22</v>
      </c>
      <c r="B12" s="5"/>
      <c r="C12" s="5"/>
      <c r="K12" s="1" t="s">
        <v>15</v>
      </c>
      <c r="L12" s="2" t="s">
        <v>31</v>
      </c>
      <c r="M12" s="2" t="s">
        <v>39</v>
      </c>
      <c r="N12" s="2" t="s">
        <v>51</v>
      </c>
      <c r="O12" s="2" t="s">
        <v>71</v>
      </c>
      <c r="P12" s="2" t="s">
        <v>72</v>
      </c>
      <c r="Q12" s="2" t="s">
        <v>73</v>
      </c>
      <c r="R12" s="2" t="s">
        <v>20</v>
      </c>
      <c r="S12" s="2" t="s">
        <v>21</v>
      </c>
      <c r="U12" s="2" t="s">
        <v>34</v>
      </c>
      <c r="V12">
        <v>4180</v>
      </c>
      <c r="X12">
        <f t="shared" si="0"/>
        <v>1.2172393709959231</v>
      </c>
    </row>
    <row r="13" spans="1:24" x14ac:dyDescent="0.25">
      <c r="A13" s="1" t="s">
        <v>17</v>
      </c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  <c r="H13" s="1" t="s">
        <v>6</v>
      </c>
      <c r="I13" s="1" t="s">
        <v>7</v>
      </c>
      <c r="U13" s="2" t="s">
        <v>35</v>
      </c>
      <c r="V13">
        <v>5352</v>
      </c>
      <c r="X13">
        <f t="shared" si="0"/>
        <v>1.5585323238206175</v>
      </c>
    </row>
    <row r="14" spans="1:24" x14ac:dyDescent="0.25">
      <c r="A14" s="1" t="s">
        <v>8</v>
      </c>
      <c r="B14" s="2">
        <v>4375</v>
      </c>
      <c r="C14" s="2">
        <v>4790</v>
      </c>
      <c r="D14" s="2">
        <v>4300</v>
      </c>
      <c r="E14" s="2">
        <v>3984</v>
      </c>
      <c r="F14" s="2">
        <v>3577</v>
      </c>
      <c r="G14" s="2">
        <v>4217</v>
      </c>
      <c r="H14" s="2">
        <v>4312</v>
      </c>
      <c r="I14" s="2">
        <v>850</v>
      </c>
      <c r="U14" s="2" t="s">
        <v>36</v>
      </c>
      <c r="V14">
        <v>3599</v>
      </c>
      <c r="X14">
        <f t="shared" si="0"/>
        <v>1.0480489225393128</v>
      </c>
    </row>
    <row r="15" spans="1:24" x14ac:dyDescent="0.25">
      <c r="A15" s="1" t="s">
        <v>9</v>
      </c>
      <c r="B15" s="2">
        <v>4087</v>
      </c>
      <c r="C15" s="2">
        <v>4078</v>
      </c>
      <c r="D15" s="2">
        <v>4009</v>
      </c>
      <c r="E15" s="2">
        <v>4277</v>
      </c>
      <c r="F15" s="2">
        <v>3535</v>
      </c>
      <c r="G15" s="2">
        <v>3822</v>
      </c>
      <c r="H15" s="2">
        <v>3768</v>
      </c>
      <c r="I15" s="2">
        <v>922</v>
      </c>
      <c r="U15" s="2" t="s">
        <v>37</v>
      </c>
      <c r="V15">
        <v>4300</v>
      </c>
      <c r="X15">
        <f t="shared" si="0"/>
        <v>1.2521840419336052</v>
      </c>
    </row>
    <row r="16" spans="1:24" x14ac:dyDescent="0.25">
      <c r="A16" s="1" t="s">
        <v>10</v>
      </c>
      <c r="B16" s="2">
        <v>4295</v>
      </c>
      <c r="C16" s="2">
        <v>3819</v>
      </c>
      <c r="D16" s="2">
        <v>3960</v>
      </c>
      <c r="E16" s="2">
        <v>3375</v>
      </c>
      <c r="F16" s="2">
        <v>3739</v>
      </c>
      <c r="G16" s="2">
        <v>4014</v>
      </c>
      <c r="H16" s="2">
        <v>3925</v>
      </c>
      <c r="I16" s="2">
        <v>874</v>
      </c>
      <c r="U16" s="2" t="s">
        <v>38</v>
      </c>
      <c r="V16">
        <v>3983</v>
      </c>
      <c r="X16">
        <f t="shared" si="0"/>
        <v>1.1598718695398951</v>
      </c>
    </row>
    <row r="17" spans="1:24" x14ac:dyDescent="0.25">
      <c r="A17" s="1" t="s">
        <v>11</v>
      </c>
      <c r="B17" s="2">
        <v>4526</v>
      </c>
      <c r="C17" s="2">
        <v>4798</v>
      </c>
      <c r="D17" s="2">
        <v>3995</v>
      </c>
      <c r="E17" s="2">
        <v>3737</v>
      </c>
      <c r="F17" s="2">
        <v>3571</v>
      </c>
      <c r="G17" s="2">
        <v>3867</v>
      </c>
      <c r="H17" s="2">
        <v>3715</v>
      </c>
      <c r="I17" s="2">
        <v>920</v>
      </c>
      <c r="U17" s="2" t="s">
        <v>39</v>
      </c>
      <c r="V17">
        <v>4575</v>
      </c>
      <c r="X17">
        <f t="shared" si="0"/>
        <v>1.3322655794991263</v>
      </c>
    </row>
    <row r="18" spans="1:24" x14ac:dyDescent="0.25">
      <c r="A18" s="1" t="s">
        <v>12</v>
      </c>
      <c r="B18" s="2">
        <v>4691</v>
      </c>
      <c r="C18" s="2">
        <v>4217</v>
      </c>
      <c r="D18" s="2">
        <v>3434</v>
      </c>
      <c r="E18" s="2">
        <v>3606</v>
      </c>
      <c r="F18" s="2">
        <v>3179</v>
      </c>
      <c r="G18" s="2">
        <v>3934</v>
      </c>
      <c r="H18" s="2">
        <v>3585</v>
      </c>
      <c r="I18" s="2">
        <v>1002</v>
      </c>
      <c r="U18" s="2" t="s">
        <v>40</v>
      </c>
      <c r="V18">
        <v>3678</v>
      </c>
      <c r="X18">
        <f t="shared" si="0"/>
        <v>1.0710541642399534</v>
      </c>
    </row>
    <row r="19" spans="1:24" x14ac:dyDescent="0.25">
      <c r="A19" s="1" t="s">
        <v>13</v>
      </c>
      <c r="B19" s="2">
        <v>4555</v>
      </c>
      <c r="C19" s="2">
        <v>4199</v>
      </c>
      <c r="D19" s="2">
        <v>3916</v>
      </c>
      <c r="E19" s="2">
        <v>3897</v>
      </c>
      <c r="F19" s="2">
        <v>3916</v>
      </c>
      <c r="G19" s="2">
        <v>3573</v>
      </c>
      <c r="H19" s="2">
        <v>3851</v>
      </c>
      <c r="I19" s="2">
        <v>926</v>
      </c>
      <c r="U19" s="2" t="s">
        <v>41</v>
      </c>
      <c r="V19">
        <v>3746</v>
      </c>
      <c r="X19">
        <f t="shared" si="0"/>
        <v>1.0908561444379732</v>
      </c>
    </row>
    <row r="20" spans="1:24" x14ac:dyDescent="0.25">
      <c r="A20" s="1" t="s">
        <v>14</v>
      </c>
      <c r="B20" s="2">
        <v>5549</v>
      </c>
      <c r="C20" s="2">
        <v>4226</v>
      </c>
      <c r="D20" s="2">
        <v>3391</v>
      </c>
      <c r="E20" s="2">
        <v>3861</v>
      </c>
      <c r="F20" s="2">
        <v>3881</v>
      </c>
      <c r="G20" s="2">
        <v>3737</v>
      </c>
      <c r="H20" s="2">
        <v>4715</v>
      </c>
      <c r="I20" s="2">
        <v>917</v>
      </c>
      <c r="U20" s="2" t="s">
        <v>42</v>
      </c>
      <c r="V20">
        <v>2424</v>
      </c>
      <c r="X20">
        <f t="shared" si="0"/>
        <v>0.70588235294117652</v>
      </c>
    </row>
    <row r="21" spans="1:24" x14ac:dyDescent="0.25">
      <c r="A21" s="1" t="s">
        <v>15</v>
      </c>
      <c r="B21" s="2">
        <v>5325</v>
      </c>
      <c r="C21" s="2">
        <v>4606</v>
      </c>
      <c r="D21" s="2">
        <v>4335</v>
      </c>
      <c r="E21" s="2">
        <v>4426</v>
      </c>
      <c r="F21" s="2">
        <v>3896</v>
      </c>
      <c r="G21" s="2">
        <v>4398</v>
      </c>
      <c r="H21" s="2">
        <v>5179</v>
      </c>
      <c r="I21" s="2">
        <v>933</v>
      </c>
      <c r="U21" s="2" t="s">
        <v>43</v>
      </c>
      <c r="V21">
        <v>3058</v>
      </c>
      <c r="X21">
        <f t="shared" si="0"/>
        <v>0.89050669772859636</v>
      </c>
    </row>
    <row r="22" spans="1:24" x14ac:dyDescent="0.25">
      <c r="U22" s="2" t="s">
        <v>44</v>
      </c>
      <c r="V22">
        <v>3561</v>
      </c>
      <c r="X22">
        <f t="shared" si="0"/>
        <v>1.0369831100757134</v>
      </c>
    </row>
    <row r="23" spans="1:24" x14ac:dyDescent="0.25">
      <c r="U23" s="2" t="s">
        <v>45</v>
      </c>
      <c r="V23">
        <v>4414</v>
      </c>
      <c r="X23">
        <f t="shared" si="0"/>
        <v>1.2853814793244029</v>
      </c>
    </row>
    <row r="24" spans="1:24" x14ac:dyDescent="0.25">
      <c r="A24" s="1" t="s">
        <v>18</v>
      </c>
      <c r="B24" s="1" t="s">
        <v>0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  <c r="H24" s="1" t="s">
        <v>6</v>
      </c>
      <c r="I24" s="1" t="s">
        <v>7</v>
      </c>
      <c r="U24" s="2" t="s">
        <v>46</v>
      </c>
      <c r="V24">
        <v>4762</v>
      </c>
      <c r="X24">
        <f t="shared" si="0"/>
        <v>1.3867210250436808</v>
      </c>
    </row>
    <row r="25" spans="1:24" x14ac:dyDescent="0.25">
      <c r="A25" s="1" t="s">
        <v>8</v>
      </c>
      <c r="B25" s="2">
        <f>B3-B14</f>
        <v>5347</v>
      </c>
      <c r="C25" s="2">
        <f t="shared" ref="C25:I25" si="1">C3-C14</f>
        <v>4258</v>
      </c>
      <c r="D25" s="2">
        <f t="shared" si="1"/>
        <v>3678</v>
      </c>
      <c r="E25" s="2">
        <f t="shared" si="1"/>
        <v>4601</v>
      </c>
      <c r="F25" s="2">
        <f t="shared" si="1"/>
        <v>3844</v>
      </c>
      <c r="G25" s="2">
        <f t="shared" si="1"/>
        <v>3644</v>
      </c>
      <c r="H25" s="2">
        <f t="shared" si="1"/>
        <v>3285</v>
      </c>
      <c r="I25" s="2">
        <f t="shared" si="1"/>
        <v>347</v>
      </c>
      <c r="U25" s="2" t="s">
        <v>51</v>
      </c>
      <c r="V25">
        <v>4673</v>
      </c>
      <c r="X25">
        <f t="shared" si="0"/>
        <v>1.3608037274315667</v>
      </c>
    </row>
    <row r="26" spans="1:24" x14ac:dyDescent="0.25">
      <c r="A26" s="1" t="s">
        <v>9</v>
      </c>
      <c r="B26" s="2">
        <f t="shared" ref="B26:I32" si="2">B4-B15</f>
        <v>4066</v>
      </c>
      <c r="C26" s="2">
        <f t="shared" si="2"/>
        <v>3881</v>
      </c>
      <c r="D26" s="2">
        <f t="shared" si="2"/>
        <v>3746</v>
      </c>
      <c r="E26" s="2">
        <f t="shared" si="2"/>
        <v>3628</v>
      </c>
      <c r="F26" s="2">
        <f t="shared" si="2"/>
        <v>3537</v>
      </c>
      <c r="G26" s="2">
        <f t="shared" si="2"/>
        <v>4559</v>
      </c>
      <c r="H26" s="2">
        <f t="shared" si="2"/>
        <v>3154</v>
      </c>
      <c r="I26" s="2">
        <f t="shared" si="2"/>
        <v>338</v>
      </c>
      <c r="U26" s="2" t="s">
        <v>47</v>
      </c>
      <c r="V26">
        <v>4601</v>
      </c>
      <c r="X26">
        <f t="shared" si="0"/>
        <v>1.3398369248689574</v>
      </c>
    </row>
    <row r="27" spans="1:24" x14ac:dyDescent="0.25">
      <c r="A27" s="1" t="s">
        <v>10</v>
      </c>
      <c r="B27" s="2">
        <f t="shared" si="2"/>
        <v>5805</v>
      </c>
      <c r="C27" s="2">
        <f t="shared" si="2"/>
        <v>4180</v>
      </c>
      <c r="D27" s="2">
        <f t="shared" si="2"/>
        <v>2424</v>
      </c>
      <c r="E27" s="2">
        <f t="shared" si="2"/>
        <v>5712</v>
      </c>
      <c r="F27" s="2">
        <f t="shared" si="2"/>
        <v>5235</v>
      </c>
      <c r="G27" s="2">
        <f t="shared" si="2"/>
        <v>5385</v>
      </c>
      <c r="H27" s="2">
        <f t="shared" si="2"/>
        <v>3434</v>
      </c>
      <c r="I27" s="2">
        <f t="shared" si="2"/>
        <v>391</v>
      </c>
      <c r="U27" s="2" t="s">
        <v>52</v>
      </c>
      <c r="V27">
        <v>3628</v>
      </c>
      <c r="X27">
        <f t="shared" si="0"/>
        <v>1.056493884682586</v>
      </c>
    </row>
    <row r="28" spans="1:24" x14ac:dyDescent="0.25">
      <c r="A28" s="1" t="s">
        <v>11</v>
      </c>
      <c r="B28" s="2">
        <f t="shared" si="2"/>
        <v>5913</v>
      </c>
      <c r="C28" s="2">
        <f t="shared" si="2"/>
        <v>5352</v>
      </c>
      <c r="D28" s="2">
        <f t="shared" si="2"/>
        <v>3058</v>
      </c>
      <c r="E28" s="2">
        <f t="shared" si="2"/>
        <v>5817</v>
      </c>
      <c r="F28" s="2">
        <f t="shared" si="2"/>
        <v>3212</v>
      </c>
      <c r="G28" s="2">
        <f t="shared" si="2"/>
        <v>5180</v>
      </c>
      <c r="H28" s="2">
        <f t="shared" si="2"/>
        <v>3369</v>
      </c>
      <c r="I28" s="2">
        <f t="shared" si="2"/>
        <v>374</v>
      </c>
      <c r="U28" s="2" t="s">
        <v>56</v>
      </c>
      <c r="V28">
        <v>5712</v>
      </c>
      <c r="X28">
        <f t="shared" si="0"/>
        <v>1.6633663366336633</v>
      </c>
    </row>
    <row r="29" spans="1:24" x14ac:dyDescent="0.25">
      <c r="A29" s="1" t="s">
        <v>12</v>
      </c>
      <c r="B29" s="2">
        <f t="shared" si="2"/>
        <v>4039</v>
      </c>
      <c r="C29" s="2">
        <f t="shared" si="2"/>
        <v>3599</v>
      </c>
      <c r="D29" s="2">
        <f t="shared" si="2"/>
        <v>3561</v>
      </c>
      <c r="E29" s="2">
        <f t="shared" si="2"/>
        <v>4952</v>
      </c>
      <c r="F29" s="2">
        <f t="shared" si="2"/>
        <v>2730</v>
      </c>
      <c r="G29" s="2">
        <f t="shared" si="2"/>
        <v>4049</v>
      </c>
      <c r="H29" s="2">
        <f t="shared" si="2"/>
        <v>3173</v>
      </c>
      <c r="I29" s="2">
        <f t="shared" si="2"/>
        <v>329</v>
      </c>
      <c r="U29" s="2" t="s">
        <v>59</v>
      </c>
      <c r="V29">
        <v>5817</v>
      </c>
      <c r="X29">
        <f t="shared" si="0"/>
        <v>1.693942923704135</v>
      </c>
    </row>
    <row r="30" spans="1:24" x14ac:dyDescent="0.25">
      <c r="A30" s="1" t="s">
        <v>13</v>
      </c>
      <c r="B30" s="2">
        <f t="shared" si="2"/>
        <v>5105</v>
      </c>
      <c r="C30" s="2">
        <f t="shared" si="2"/>
        <v>4300</v>
      </c>
      <c r="D30" s="2">
        <f t="shared" si="2"/>
        <v>4414</v>
      </c>
      <c r="E30" s="2">
        <f t="shared" si="2"/>
        <v>3724</v>
      </c>
      <c r="F30" s="2">
        <f t="shared" si="2"/>
        <v>3839</v>
      </c>
      <c r="G30" s="2">
        <f t="shared" si="2"/>
        <v>3999</v>
      </c>
      <c r="H30" s="2">
        <f t="shared" si="2"/>
        <v>3481</v>
      </c>
      <c r="I30" s="2">
        <f t="shared" si="2"/>
        <v>345</v>
      </c>
      <c r="U30" s="2" t="s">
        <v>62</v>
      </c>
      <c r="V30">
        <v>4952</v>
      </c>
      <c r="X30">
        <f t="shared" si="0"/>
        <v>1.4420500873616773</v>
      </c>
    </row>
    <row r="31" spans="1:24" x14ac:dyDescent="0.25">
      <c r="A31" s="1" t="s">
        <v>14</v>
      </c>
      <c r="B31" s="2">
        <f t="shared" si="2"/>
        <v>5083</v>
      </c>
      <c r="C31" s="2">
        <f t="shared" si="2"/>
        <v>3983</v>
      </c>
      <c r="D31" s="2">
        <f t="shared" si="2"/>
        <v>4762</v>
      </c>
      <c r="E31" s="2">
        <f t="shared" si="2"/>
        <v>3162</v>
      </c>
      <c r="F31" s="2">
        <f t="shared" si="2"/>
        <v>2811</v>
      </c>
      <c r="G31" s="2">
        <f t="shared" si="2"/>
        <v>3417</v>
      </c>
      <c r="H31" s="2">
        <f t="shared" si="2"/>
        <v>1043</v>
      </c>
      <c r="I31" s="2">
        <f t="shared" si="2"/>
        <v>380</v>
      </c>
      <c r="U31" s="2" t="s">
        <v>65</v>
      </c>
      <c r="V31">
        <v>3724</v>
      </c>
      <c r="X31">
        <f t="shared" si="0"/>
        <v>1.0844496214327315</v>
      </c>
    </row>
    <row r="32" spans="1:24" x14ac:dyDescent="0.25">
      <c r="A32" s="1" t="s">
        <v>15</v>
      </c>
      <c r="B32" s="2">
        <f t="shared" si="2"/>
        <v>6532</v>
      </c>
      <c r="C32" s="2">
        <f t="shared" si="2"/>
        <v>4575</v>
      </c>
      <c r="D32" s="2">
        <f t="shared" si="2"/>
        <v>4673</v>
      </c>
      <c r="E32" s="2">
        <f t="shared" si="2"/>
        <v>4598</v>
      </c>
      <c r="F32" s="2">
        <f t="shared" si="2"/>
        <v>2178</v>
      </c>
      <c r="G32" s="2">
        <f t="shared" si="2"/>
        <v>4253</v>
      </c>
      <c r="H32" s="2">
        <f t="shared" si="2"/>
        <v>793</v>
      </c>
      <c r="I32" s="2">
        <f t="shared" si="2"/>
        <v>299</v>
      </c>
      <c r="U32" s="2" t="s">
        <v>68</v>
      </c>
      <c r="V32">
        <v>3162</v>
      </c>
      <c r="X32">
        <f t="shared" si="0"/>
        <v>0.92079207920792083</v>
      </c>
    </row>
    <row r="33" spans="21:24" x14ac:dyDescent="0.25">
      <c r="U33" s="2" t="s">
        <v>71</v>
      </c>
      <c r="V33">
        <v>4598</v>
      </c>
      <c r="X33">
        <f t="shared" si="0"/>
        <v>1.3389633080955154</v>
      </c>
    </row>
    <row r="34" spans="21:24" x14ac:dyDescent="0.25">
      <c r="U34" s="2" t="s">
        <v>48</v>
      </c>
      <c r="V34">
        <v>3844</v>
      </c>
      <c r="X34">
        <f t="shared" si="0"/>
        <v>1.1193942923704134</v>
      </c>
    </row>
    <row r="35" spans="21:24" x14ac:dyDescent="0.25">
      <c r="U35" s="2" t="s">
        <v>53</v>
      </c>
      <c r="V35">
        <v>3537</v>
      </c>
      <c r="X35">
        <f t="shared" si="0"/>
        <v>1.029994175888177</v>
      </c>
    </row>
    <row r="36" spans="21:24" x14ac:dyDescent="0.25">
      <c r="U36" s="2" t="s">
        <v>57</v>
      </c>
      <c r="V36">
        <v>5235</v>
      </c>
      <c r="X36">
        <f t="shared" si="0"/>
        <v>1.5244612696563773</v>
      </c>
    </row>
    <row r="37" spans="21:24" x14ac:dyDescent="0.25">
      <c r="U37" s="2" t="s">
        <v>60</v>
      </c>
      <c r="V37">
        <v>3212</v>
      </c>
      <c r="X37">
        <f t="shared" si="0"/>
        <v>0.93535235876528833</v>
      </c>
    </row>
    <row r="38" spans="21:24" x14ac:dyDescent="0.25">
      <c r="U38" s="2" t="s">
        <v>63</v>
      </c>
      <c r="V38">
        <v>2730</v>
      </c>
      <c r="X38">
        <f t="shared" si="0"/>
        <v>0.79499126383226559</v>
      </c>
    </row>
    <row r="39" spans="21:24" x14ac:dyDescent="0.25">
      <c r="U39" s="2" t="s">
        <v>66</v>
      </c>
      <c r="V39">
        <v>3839</v>
      </c>
      <c r="X39">
        <f t="shared" si="0"/>
        <v>1.1179382644146767</v>
      </c>
    </row>
    <row r="40" spans="21:24" x14ac:dyDescent="0.25">
      <c r="U40" s="2" t="s">
        <v>69</v>
      </c>
      <c r="V40">
        <v>2811</v>
      </c>
      <c r="X40">
        <f t="shared" si="0"/>
        <v>0.81857891671520089</v>
      </c>
    </row>
    <row r="41" spans="21:24" x14ac:dyDescent="0.25">
      <c r="U41" s="2" t="s">
        <v>72</v>
      </c>
      <c r="V41">
        <v>2178</v>
      </c>
      <c r="X41">
        <f t="shared" si="0"/>
        <v>0.63424577751892841</v>
      </c>
    </row>
    <row r="42" spans="21:24" x14ac:dyDescent="0.25">
      <c r="U42" s="2" t="s">
        <v>49</v>
      </c>
      <c r="V42">
        <v>3644</v>
      </c>
      <c r="X42">
        <f t="shared" si="0"/>
        <v>1.0611531741409435</v>
      </c>
    </row>
    <row r="43" spans="21:24" x14ac:dyDescent="0.25">
      <c r="U43" s="2" t="s">
        <v>54</v>
      </c>
      <c r="V43">
        <v>4559</v>
      </c>
      <c r="X43">
        <f t="shared" si="0"/>
        <v>1.3276062900407688</v>
      </c>
    </row>
    <row r="44" spans="21:24" x14ac:dyDescent="0.25">
      <c r="U44" s="2" t="s">
        <v>58</v>
      </c>
      <c r="V44">
        <v>5385</v>
      </c>
      <c r="X44">
        <f t="shared" si="0"/>
        <v>1.5681421083284799</v>
      </c>
    </row>
    <row r="45" spans="21:24" x14ac:dyDescent="0.25">
      <c r="U45" s="2" t="s">
        <v>61</v>
      </c>
      <c r="V45">
        <v>5180</v>
      </c>
      <c r="X45">
        <f t="shared" si="0"/>
        <v>1.5084449621432732</v>
      </c>
    </row>
    <row r="46" spans="21:24" x14ac:dyDescent="0.25">
      <c r="U46" s="2" t="s">
        <v>64</v>
      </c>
      <c r="V46">
        <v>4049</v>
      </c>
      <c r="X46">
        <f t="shared" si="0"/>
        <v>1.1790914385556204</v>
      </c>
    </row>
    <row r="47" spans="21:24" x14ac:dyDescent="0.25">
      <c r="U47" s="2" t="s">
        <v>67</v>
      </c>
      <c r="V47">
        <v>3999</v>
      </c>
      <c r="X47">
        <f t="shared" si="0"/>
        <v>1.1645311589982528</v>
      </c>
    </row>
    <row r="48" spans="21:24" x14ac:dyDescent="0.25">
      <c r="U48" s="2" t="s">
        <v>70</v>
      </c>
      <c r="V48">
        <v>3417</v>
      </c>
      <c r="X48">
        <f t="shared" si="0"/>
        <v>0.99504950495049505</v>
      </c>
    </row>
    <row r="49" spans="21:24" x14ac:dyDescent="0.25">
      <c r="U49" s="2" t="s">
        <v>73</v>
      </c>
      <c r="V49">
        <v>4253</v>
      </c>
      <c r="X49">
        <f t="shared" si="0"/>
        <v>1.2384973791496796</v>
      </c>
    </row>
    <row r="50" spans="21:24" x14ac:dyDescent="0.25">
      <c r="U50" s="2" t="s">
        <v>50</v>
      </c>
      <c r="V50">
        <v>3285</v>
      </c>
      <c r="X50">
        <f t="shared" si="0"/>
        <v>0.95661036691904489</v>
      </c>
    </row>
    <row r="51" spans="21:24" x14ac:dyDescent="0.25">
      <c r="U51" s="2" t="s">
        <v>55</v>
      </c>
      <c r="V51">
        <v>3154</v>
      </c>
      <c r="W51">
        <f>AVERAGE(V2:V51)</f>
        <v>4216.78</v>
      </c>
      <c r="X51">
        <f t="shared" si="0"/>
        <v>0.91846243447874198</v>
      </c>
    </row>
    <row r="52" spans="21:24" x14ac:dyDescent="0.25">
      <c r="U52" s="2" t="s">
        <v>19</v>
      </c>
      <c r="V52">
        <v>3434</v>
      </c>
      <c r="W52">
        <f>_xlfn.STDEV.P(V2:V51)</f>
        <v>954.64592996566012</v>
      </c>
      <c r="X52">
        <f t="shared" si="0"/>
        <v>1</v>
      </c>
    </row>
    <row r="53" spans="21:24" x14ac:dyDescent="0.25">
      <c r="U53" s="2" t="s">
        <v>20</v>
      </c>
      <c r="V53">
        <v>918</v>
      </c>
      <c r="W53" s="3">
        <f>W52/W51</f>
        <v>0.22639215941207749</v>
      </c>
    </row>
  </sheetData>
  <mergeCells count="2">
    <mergeCell ref="A12:C12"/>
    <mergeCell ref="A1:C1"/>
  </mergeCells>
  <phoneticPr fontId="4" type="noConversion"/>
  <conditionalFormatting sqref="B25:I3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:S1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0:U1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8:U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6:U3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4:U4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2:U4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0:U5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54">
    <cfRule type="colorScale" priority="1">
      <colorScale>
        <cfvo type="min"/>
        <cfvo type="max"/>
        <color theme="0"/>
        <color theme="1" tint="0.49998474074526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ajevy</dc:creator>
  <cp:lastModifiedBy>ajevy</cp:lastModifiedBy>
  <dcterms:created xsi:type="dcterms:W3CDTF">2023-12-04T14:26:44Z</dcterms:created>
  <dcterms:modified xsi:type="dcterms:W3CDTF">2024-08-30T16:14:09Z</dcterms:modified>
</cp:coreProperties>
</file>